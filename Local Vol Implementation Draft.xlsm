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10039014B\Desktop\"/>
    </mc:Choice>
  </mc:AlternateContent>
  <xr:revisionPtr revIDLastSave="0" documentId="13_ncr:1_{0DD9308C-3558-48C0-9FEC-4F3322F4FE16}" xr6:coauthVersionLast="47" xr6:coauthVersionMax="47" xr10:uidLastSave="{00000000-0000-0000-0000-000000000000}"/>
  <bookViews>
    <workbookView xWindow="-28920" yWindow="-120" windowWidth="29040" windowHeight="15840" activeTab="1" xr2:uid="{B43C2567-D001-47A6-966D-B1E900CFA17A}"/>
  </bookViews>
  <sheets>
    <sheet name="References" sheetId="3" r:id="rId1"/>
    <sheet name="Details" sheetId="1" r:id="rId2"/>
    <sheet name="PDE Grid" sheetId="2" r:id="rId3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2" l="1"/>
  <c r="B3" i="2"/>
  <c r="B4" i="2"/>
  <c r="B5" i="2"/>
  <c r="B1" i="2"/>
  <c r="I2" i="2" a="1"/>
  <c r="I2" i="2" l="1"/>
  <c r="B11" i="2"/>
  <c r="F17" i="1"/>
  <c r="E17" i="1"/>
  <c r="E15" i="1" s="1"/>
  <c r="R7" i="1" a="1"/>
  <c r="O7" i="1" a="1"/>
  <c r="I39" i="2" l="1"/>
  <c r="I38" i="2"/>
  <c r="I44" i="2"/>
  <c r="I33" i="2"/>
  <c r="I34" i="2"/>
  <c r="I40" i="2"/>
  <c r="I46" i="2"/>
  <c r="I35" i="2"/>
  <c r="I47" i="2"/>
  <c r="I30" i="2"/>
  <c r="I42" i="2"/>
  <c r="I37" i="2"/>
  <c r="I29" i="2"/>
  <c r="I41" i="2"/>
  <c r="I36" i="2"/>
  <c r="I28" i="2"/>
  <c r="I31" i="2"/>
  <c r="I43" i="2"/>
  <c r="I45" i="2"/>
  <c r="I32" i="2"/>
  <c r="R7" i="1"/>
  <c r="O7" i="1"/>
  <c r="V7" i="1" a="1"/>
  <c r="V7" i="1" l="1"/>
  <c r="P7" i="1"/>
  <c r="O4" i="1" l="1"/>
  <c r="O11" i="1"/>
  <c r="O3" i="1"/>
  <c r="V4" i="1" a="1"/>
  <c r="V3" i="1" a="1"/>
  <c r="V11" i="1" a="1"/>
  <c r="H3" i="2" a="1"/>
  <c r="V11" i="1" l="1"/>
  <c r="V3" i="1"/>
  <c r="V4" i="1"/>
  <c r="P3" i="1"/>
  <c r="P4" i="1"/>
  <c r="G6" i="2"/>
  <c r="G12" i="2"/>
  <c r="G18" i="2"/>
  <c r="G7" i="2"/>
  <c r="G13" i="2"/>
  <c r="G19" i="2"/>
  <c r="G8" i="2"/>
  <c r="G14" i="2"/>
  <c r="G20" i="2"/>
  <c r="G9" i="2"/>
  <c r="G15" i="2"/>
  <c r="G21" i="2"/>
  <c r="G4" i="2"/>
  <c r="G10" i="2"/>
  <c r="G16" i="2"/>
  <c r="G22" i="2"/>
  <c r="G5" i="2"/>
  <c r="G11" i="2"/>
  <c r="G17" i="2"/>
  <c r="I7" i="2"/>
  <c r="I13" i="2"/>
  <c r="I19" i="2"/>
  <c r="I8" i="2"/>
  <c r="I14" i="2"/>
  <c r="I20" i="2"/>
  <c r="I16" i="2"/>
  <c r="I10" i="2"/>
  <c r="I17" i="2"/>
  <c r="I4" i="2"/>
  <c r="I9" i="2"/>
  <c r="I11" i="2"/>
  <c r="I21" i="2"/>
  <c r="I18" i="2"/>
  <c r="I5" i="2"/>
  <c r="I15" i="2"/>
  <c r="I12" i="2"/>
  <c r="I22" i="2"/>
  <c r="J22" i="2" s="1"/>
  <c r="K22" i="2" s="1"/>
  <c r="L22" i="2" s="1"/>
  <c r="M22" i="2" s="1"/>
  <c r="N22" i="2" s="1"/>
  <c r="O22" i="2" s="1"/>
  <c r="P22" i="2" s="1"/>
  <c r="Q22" i="2" s="1"/>
  <c r="R22" i="2" s="1"/>
  <c r="S22" i="2" s="1"/>
  <c r="T22" i="2" s="1"/>
  <c r="U22" i="2" s="1"/>
  <c r="V22" i="2" s="1"/>
  <c r="W22" i="2" s="1"/>
  <c r="X22" i="2" s="1"/>
  <c r="Y22" i="2" s="1"/>
  <c r="Z22" i="2" s="1"/>
  <c r="AA22" i="2" s="1"/>
  <c r="AB22" i="2" s="1"/>
  <c r="AC22" i="2" s="1"/>
  <c r="AD22" i="2" s="1"/>
  <c r="AE22" i="2" s="1"/>
  <c r="AF22" i="2" s="1"/>
  <c r="AG22" i="2" s="1"/>
  <c r="I6" i="2"/>
  <c r="E8" i="2"/>
  <c r="E14" i="2"/>
  <c r="E20" i="2"/>
  <c r="E9" i="2"/>
  <c r="E15" i="2"/>
  <c r="E21" i="2"/>
  <c r="E4" i="2"/>
  <c r="E10" i="2"/>
  <c r="E16" i="2"/>
  <c r="E22" i="2"/>
  <c r="E5" i="2"/>
  <c r="E11" i="2"/>
  <c r="E17" i="2"/>
  <c r="E6" i="2"/>
  <c r="E12" i="2"/>
  <c r="E18" i="2"/>
  <c r="E7" i="2"/>
  <c r="E13" i="2"/>
  <c r="E19" i="2"/>
  <c r="H3" i="2"/>
  <c r="P11" i="1"/>
  <c r="R4" i="1"/>
  <c r="R3" i="1"/>
  <c r="R11" i="1"/>
  <c r="N5" i="1"/>
  <c r="R5" i="1" s="1"/>
  <c r="H4" i="1"/>
  <c r="H5" i="1"/>
  <c r="H6" i="1"/>
  <c r="H7" i="1"/>
  <c r="H8" i="1"/>
  <c r="H9" i="1"/>
  <c r="H10" i="1"/>
  <c r="H11" i="1"/>
  <c r="H3" i="1"/>
  <c r="E19" i="1" a="1"/>
  <c r="F19" i="1" a="1"/>
  <c r="E20" i="1" a="1"/>
  <c r="F20" i="1" a="1"/>
  <c r="E26" i="1" a="1"/>
  <c r="F26" i="1" a="1"/>
  <c r="E21" i="1" a="1"/>
  <c r="F21" i="1" a="1"/>
  <c r="E22" i="1" a="1"/>
  <c r="F22" i="1" a="1"/>
  <c r="E23" i="1" a="1"/>
  <c r="F23" i="1" a="1"/>
  <c r="E24" i="1" a="1"/>
  <c r="F24" i="1" a="1"/>
  <c r="E25" i="1" a="1"/>
  <c r="F25" i="1" a="1"/>
  <c r="E18" i="1" a="1"/>
  <c r="F18" i="1" a="1"/>
  <c r="I3" i="2" l="1"/>
  <c r="G3" i="2"/>
  <c r="B12" i="2"/>
  <c r="E3" i="2"/>
  <c r="J3" i="2"/>
  <c r="K3" i="2" s="1"/>
  <c r="L3" i="2" s="1"/>
  <c r="M3" i="2" s="1"/>
  <c r="N3" i="2" s="1"/>
  <c r="O3" i="2" s="1"/>
  <c r="P3" i="2" s="1"/>
  <c r="Q3" i="2" s="1"/>
  <c r="R3" i="2" s="1"/>
  <c r="S3" i="2" s="1"/>
  <c r="T3" i="2" s="1"/>
  <c r="U3" i="2" s="1"/>
  <c r="V3" i="2" s="1"/>
  <c r="W3" i="2" s="1"/>
  <c r="X3" i="2" s="1"/>
  <c r="Y3" i="2" s="1"/>
  <c r="Z3" i="2" s="1"/>
  <c r="AA3" i="2" s="1"/>
  <c r="AB3" i="2" s="1"/>
  <c r="AC3" i="2" s="1"/>
  <c r="AD3" i="2" s="1"/>
  <c r="AE3" i="2" s="1"/>
  <c r="AF3" i="2" s="1"/>
  <c r="AG3" i="2" s="1"/>
  <c r="F18" i="1"/>
  <c r="E18" i="1"/>
  <c r="F25" i="1"/>
  <c r="E25" i="1"/>
  <c r="F24" i="1"/>
  <c r="E24" i="1"/>
  <c r="F23" i="1"/>
  <c r="E23" i="1"/>
  <c r="F22" i="1"/>
  <c r="E22" i="1"/>
  <c r="F21" i="1"/>
  <c r="E21" i="1"/>
  <c r="F26" i="1"/>
  <c r="E26" i="1"/>
  <c r="F20" i="1"/>
  <c r="E20" i="1"/>
  <c r="F19" i="1"/>
  <c r="E19" i="1"/>
  <c r="I3" i="1"/>
  <c r="D18" i="1" s="1"/>
  <c r="I10" i="1"/>
  <c r="D25" i="1" s="1"/>
  <c r="I9" i="1"/>
  <c r="D24" i="1" s="1"/>
  <c r="I8" i="1"/>
  <c r="D23" i="1" s="1"/>
  <c r="I7" i="1"/>
  <c r="D22" i="1" s="1"/>
  <c r="I6" i="1"/>
  <c r="D21" i="1" s="1"/>
  <c r="I11" i="1"/>
  <c r="D26" i="1" s="1"/>
  <c r="I5" i="1"/>
  <c r="D20" i="1" s="1"/>
  <c r="I4" i="1"/>
  <c r="D19" i="1" s="1"/>
  <c r="N6" i="1"/>
  <c r="R6" i="1" s="1"/>
  <c r="O5" i="1"/>
  <c r="V5" i="1" a="1"/>
  <c r="V5" i="1" l="1"/>
  <c r="P5" i="1"/>
  <c r="B13" i="2"/>
  <c r="N7" i="1"/>
  <c r="N8" i="1" s="1"/>
  <c r="R8" i="1" s="1"/>
  <c r="O6" i="1"/>
  <c r="V6" i="1" a="1"/>
  <c r="V6" i="1" l="1"/>
  <c r="P6" i="1"/>
  <c r="N9" i="1"/>
  <c r="R9" i="1" s="1"/>
  <c r="O8" i="1"/>
  <c r="V8" i="1" a="1"/>
  <c r="V8" i="1" l="1"/>
  <c r="P8" i="1"/>
  <c r="N10" i="1"/>
  <c r="O9" i="1"/>
  <c r="V9" i="1" a="1"/>
  <c r="V9" i="1" l="1"/>
  <c r="P9" i="1"/>
  <c r="O10" i="1"/>
  <c r="R10" i="1"/>
  <c r="V10" i="1" a="1"/>
  <c r="V10" i="1" l="1"/>
  <c r="P10" i="1"/>
  <c r="H28" i="2" a="1"/>
  <c r="H44" i="2" a="1"/>
  <c r="H47" i="2" a="1"/>
  <c r="H35" i="2" a="1"/>
  <c r="H32" i="2" a="1"/>
  <c r="H46" i="2" a="1"/>
  <c r="H43" i="2" a="1"/>
  <c r="H40" i="2" a="1"/>
  <c r="H37" i="2" a="1"/>
  <c r="H34" i="2" a="1"/>
  <c r="H31" i="2" a="1"/>
  <c r="H38" i="2" a="1"/>
  <c r="H45" i="2" a="1"/>
  <c r="H42" i="2" a="1"/>
  <c r="H39" i="2" a="1"/>
  <c r="H36" i="2" a="1"/>
  <c r="H33" i="2" a="1"/>
  <c r="H30" i="2" a="1"/>
  <c r="H41" i="2" a="1"/>
  <c r="H29" i="2" a="1"/>
  <c r="H29" i="2" l="1"/>
  <c r="H41" i="2"/>
  <c r="H30" i="2"/>
  <c r="H33" i="2"/>
  <c r="H36" i="2"/>
  <c r="H39" i="2"/>
  <c r="H42" i="2"/>
  <c r="H45" i="2"/>
  <c r="H38" i="2"/>
  <c r="H31" i="2"/>
  <c r="H34" i="2"/>
  <c r="H37" i="2"/>
  <c r="H40" i="2"/>
  <c r="H43" i="2"/>
  <c r="H46" i="2"/>
  <c r="H32" i="2"/>
  <c r="H35" i="2"/>
  <c r="H47" i="2"/>
  <c r="H44" i="2"/>
  <c r="H28" i="2"/>
  <c r="J35" i="2" l="1"/>
  <c r="K35" i="2"/>
  <c r="K34" i="2"/>
  <c r="J34" i="2"/>
  <c r="K36" i="2"/>
  <c r="J36" i="2"/>
  <c r="J44" i="2"/>
  <c r="K44" i="2"/>
  <c r="J40" i="2"/>
  <c r="K40" i="2"/>
  <c r="K29" i="2"/>
  <c r="J29" i="2"/>
  <c r="J4" i="2" s="1"/>
  <c r="K47" i="2"/>
  <c r="J47" i="2"/>
  <c r="J37" i="2"/>
  <c r="K37" i="2"/>
  <c r="J39" i="2"/>
  <c r="K39" i="2"/>
  <c r="K32" i="2"/>
  <c r="J32" i="2"/>
  <c r="K31" i="2"/>
  <c r="J31" i="2"/>
  <c r="J6" i="2" s="1"/>
  <c r="J33" i="2"/>
  <c r="K33" i="2"/>
  <c r="K42" i="2"/>
  <c r="J42" i="2"/>
  <c r="K46" i="2"/>
  <c r="J46" i="2"/>
  <c r="J21" i="2" s="1"/>
  <c r="J38" i="2"/>
  <c r="K38" i="2"/>
  <c r="J30" i="2"/>
  <c r="K30" i="2"/>
  <c r="J28" i="2"/>
  <c r="K28" i="2"/>
  <c r="J43" i="2"/>
  <c r="K43" i="2"/>
  <c r="J45" i="2"/>
  <c r="J20" i="2" s="1"/>
  <c r="K45" i="2"/>
  <c r="K41" i="2"/>
  <c r="J41" i="2"/>
  <c r="J17" i="2" l="1"/>
  <c r="K18" i="2" s="1"/>
  <c r="L19" i="2" s="1"/>
  <c r="M20" i="2" s="1"/>
  <c r="J7" i="2"/>
  <c r="J18" i="2"/>
  <c r="J13" i="2"/>
  <c r="J14" i="2"/>
  <c r="K15" i="2" s="1"/>
  <c r="J8" i="2"/>
  <c r="K8" i="2" s="1"/>
  <c r="K4" i="2"/>
  <c r="L4" i="2" s="1"/>
  <c r="J11" i="2"/>
  <c r="K11" i="2"/>
  <c r="J12" i="2"/>
  <c r="K12" i="2"/>
  <c r="J15" i="2"/>
  <c r="J16" i="2"/>
  <c r="K21" i="2"/>
  <c r="J9" i="2"/>
  <c r="K20" i="2"/>
  <c r="L21" i="2" s="1"/>
  <c r="L20" i="2"/>
  <c r="J5" i="2"/>
  <c r="K5" i="2" s="1"/>
  <c r="J19" i="2"/>
  <c r="K19" i="2"/>
  <c r="J10" i="2"/>
  <c r="N21" i="2" l="1"/>
  <c r="L16" i="2"/>
  <c r="M17" i="2" s="1"/>
  <c r="N18" i="2" s="1"/>
  <c r="O19" i="2" s="1"/>
  <c r="P20" i="2" s="1"/>
  <c r="Q21" i="2" s="1"/>
  <c r="L6" i="2"/>
  <c r="K6" i="2"/>
  <c r="L7" i="2" s="1"/>
  <c r="K10" i="2"/>
  <c r="L11" i="2" s="1"/>
  <c r="K9" i="2"/>
  <c r="K16" i="2"/>
  <c r="L17" i="2" s="1"/>
  <c r="M18" i="2" s="1"/>
  <c r="N19" i="2" s="1"/>
  <c r="O20" i="2" s="1"/>
  <c r="P21" i="2" s="1"/>
  <c r="K13" i="2"/>
  <c r="K17" i="2"/>
  <c r="L18" i="2" s="1"/>
  <c r="M19" i="2" s="1"/>
  <c r="N20" i="2" s="1"/>
  <c r="O21" i="2" s="1"/>
  <c r="K14" i="2"/>
  <c r="L15" i="2" s="1"/>
  <c r="M16" i="2" s="1"/>
  <c r="N17" i="2" s="1"/>
  <c r="O18" i="2" s="1"/>
  <c r="P19" i="2" s="1"/>
  <c r="Q20" i="2" s="1"/>
  <c r="R21" i="2" s="1"/>
  <c r="K7" i="2"/>
  <c r="M21" i="2"/>
  <c r="L10" i="2" l="1"/>
  <c r="L8" i="2"/>
  <c r="M8" i="2" s="1"/>
  <c r="L5" i="2"/>
  <c r="L13" i="2"/>
  <c r="M14" i="2" s="1"/>
  <c r="N15" i="2" s="1"/>
  <c r="O16" i="2" s="1"/>
  <c r="P17" i="2" s="1"/>
  <c r="Q18" i="2" s="1"/>
  <c r="R19" i="2" s="1"/>
  <c r="S20" i="2" s="1"/>
  <c r="T21" i="2" s="1"/>
  <c r="L14" i="2"/>
  <c r="M15" i="2" s="1"/>
  <c r="N16" i="2" s="1"/>
  <c r="O17" i="2" s="1"/>
  <c r="P18" i="2" s="1"/>
  <c r="Q19" i="2" s="1"/>
  <c r="R20" i="2" s="1"/>
  <c r="S21" i="2" s="1"/>
  <c r="L12" i="2"/>
  <c r="M13" i="2" s="1"/>
  <c r="N14" i="2" s="1"/>
  <c r="O15" i="2" s="1"/>
  <c r="P16" i="2" s="1"/>
  <c r="Q17" i="2" s="1"/>
  <c r="R18" i="2" s="1"/>
  <c r="S19" i="2" s="1"/>
  <c r="T20" i="2" s="1"/>
  <c r="U21" i="2" s="1"/>
  <c r="L9" i="2"/>
  <c r="M10" i="2" s="1"/>
  <c r="M12" i="2" l="1"/>
  <c r="N13" i="2" s="1"/>
  <c r="O14" i="2" s="1"/>
  <c r="P15" i="2" s="1"/>
  <c r="Q16" i="2" s="1"/>
  <c r="R17" i="2" s="1"/>
  <c r="S18" i="2" s="1"/>
  <c r="T19" i="2" s="1"/>
  <c r="U20" i="2" s="1"/>
  <c r="V21" i="2" s="1"/>
  <c r="M6" i="2"/>
  <c r="M4" i="2"/>
  <c r="M5" i="2"/>
  <c r="M11" i="2"/>
  <c r="N11" i="2"/>
  <c r="M9" i="2"/>
  <c r="N9" i="2" s="1"/>
  <c r="M7" i="2"/>
  <c r="N10" i="2" l="1"/>
  <c r="O11" i="2" s="1"/>
  <c r="N12" i="2"/>
  <c r="O13" i="2" s="1"/>
  <c r="P14" i="2" s="1"/>
  <c r="Q15" i="2" s="1"/>
  <c r="R16" i="2" s="1"/>
  <c r="S17" i="2" s="1"/>
  <c r="T18" i="2" s="1"/>
  <c r="U19" i="2" s="1"/>
  <c r="V20" i="2" s="1"/>
  <c r="W21" i="2" s="1"/>
  <c r="N6" i="2"/>
  <c r="O7" i="2" s="1"/>
  <c r="N4" i="2"/>
  <c r="N5" i="2"/>
  <c r="N8" i="2"/>
  <c r="N7" i="2"/>
  <c r="O8" i="2" s="1"/>
  <c r="O5" i="2" l="1"/>
  <c r="O4" i="2"/>
  <c r="O9" i="2"/>
  <c r="O12" i="2"/>
  <c r="P13" i="2" s="1"/>
  <c r="Q14" i="2" s="1"/>
  <c r="R15" i="2" s="1"/>
  <c r="S16" i="2" s="1"/>
  <c r="T17" i="2" s="1"/>
  <c r="U18" i="2" s="1"/>
  <c r="V19" i="2" s="1"/>
  <c r="W20" i="2" s="1"/>
  <c r="X21" i="2" s="1"/>
  <c r="P8" i="2"/>
  <c r="O6" i="2"/>
  <c r="P7" i="2" s="1"/>
  <c r="O10" i="2"/>
  <c r="P11" i="2" s="1"/>
  <c r="P10" i="2" l="1"/>
  <c r="Q11" i="2" s="1"/>
  <c r="P9" i="2"/>
  <c r="Q8" i="2"/>
  <c r="P4" i="2"/>
  <c r="P5" i="2"/>
  <c r="P12" i="2"/>
  <c r="Q13" i="2" s="1"/>
  <c r="R14" i="2" s="1"/>
  <c r="S15" i="2" s="1"/>
  <c r="T16" i="2" s="1"/>
  <c r="U17" i="2" s="1"/>
  <c r="V18" i="2" s="1"/>
  <c r="W19" i="2" s="1"/>
  <c r="X20" i="2" s="1"/>
  <c r="Y21" i="2" s="1"/>
  <c r="P6" i="2"/>
  <c r="Q7" i="2" s="1"/>
  <c r="Q4" i="2" l="1"/>
  <c r="Q5" i="2"/>
  <c r="R6" i="2" s="1"/>
  <c r="R8" i="2"/>
  <c r="Q10" i="2"/>
  <c r="Q12" i="2"/>
  <c r="R13" i="2" s="1"/>
  <c r="S14" i="2" s="1"/>
  <c r="T15" i="2" s="1"/>
  <c r="U16" i="2" s="1"/>
  <c r="V17" i="2" s="1"/>
  <c r="W18" i="2" s="1"/>
  <c r="X19" i="2" s="1"/>
  <c r="Y20" i="2" s="1"/>
  <c r="Z21" i="2" s="1"/>
  <c r="Q6" i="2"/>
  <c r="R7" i="2" s="1"/>
  <c r="Q9" i="2"/>
  <c r="R10" i="2" s="1"/>
  <c r="R12" i="2" l="1"/>
  <c r="S13" i="2" s="1"/>
  <c r="T14" i="2" s="1"/>
  <c r="U15" i="2" s="1"/>
  <c r="V16" i="2" s="1"/>
  <c r="W17" i="2" s="1"/>
  <c r="X18" i="2" s="1"/>
  <c r="Y19" i="2" s="1"/>
  <c r="Z20" i="2" s="1"/>
  <c r="AA21" i="2" s="1"/>
  <c r="R9" i="2"/>
  <c r="R11" i="2"/>
  <c r="S12" i="2" s="1"/>
  <c r="T13" i="2" s="1"/>
  <c r="U14" i="2" s="1"/>
  <c r="V15" i="2" s="1"/>
  <c r="W16" i="2" s="1"/>
  <c r="X17" i="2" s="1"/>
  <c r="Y18" i="2" s="1"/>
  <c r="Z19" i="2" s="1"/>
  <c r="AA20" i="2" s="1"/>
  <c r="AB21" i="2" s="1"/>
  <c r="S9" i="2"/>
  <c r="S7" i="2"/>
  <c r="S8" i="2"/>
  <c r="R4" i="2"/>
  <c r="R5" i="2"/>
  <c r="S6" i="2" s="1"/>
  <c r="T7" i="2" l="1"/>
  <c r="T8" i="2"/>
  <c r="T10" i="2"/>
  <c r="U11" i="2" s="1"/>
  <c r="V12" i="2" s="1"/>
  <c r="W13" i="2" s="1"/>
  <c r="X14" i="2" s="1"/>
  <c r="Y15" i="2" s="1"/>
  <c r="Z16" i="2" s="1"/>
  <c r="AA17" i="2" s="1"/>
  <c r="AB18" i="2" s="1"/>
  <c r="AC19" i="2" s="1"/>
  <c r="AD20" i="2" s="1"/>
  <c r="AE21" i="2" s="1"/>
  <c r="S11" i="2"/>
  <c r="T12" i="2" s="1"/>
  <c r="U13" i="2" s="1"/>
  <c r="V14" i="2" s="1"/>
  <c r="W15" i="2" s="1"/>
  <c r="X16" i="2" s="1"/>
  <c r="Y17" i="2" s="1"/>
  <c r="Z18" i="2" s="1"/>
  <c r="AA19" i="2" s="1"/>
  <c r="AB20" i="2" s="1"/>
  <c r="AC21" i="2" s="1"/>
  <c r="S4" i="2"/>
  <c r="S5" i="2"/>
  <c r="T6" i="2" s="1"/>
  <c r="S10" i="2"/>
  <c r="T11" i="2" s="1"/>
  <c r="U12" i="2" s="1"/>
  <c r="V13" i="2" s="1"/>
  <c r="W14" i="2" s="1"/>
  <c r="X15" i="2" s="1"/>
  <c r="Y16" i="2" s="1"/>
  <c r="Z17" i="2" s="1"/>
  <c r="AA18" i="2" s="1"/>
  <c r="AB19" i="2" s="1"/>
  <c r="AC20" i="2" s="1"/>
  <c r="AD21" i="2" s="1"/>
  <c r="T4" i="2" l="1"/>
  <c r="T5" i="2"/>
  <c r="U6" i="2" s="1"/>
  <c r="T9" i="2"/>
  <c r="U9" i="2" s="1"/>
  <c r="U7" i="2"/>
  <c r="V10" i="2" l="1"/>
  <c r="W11" i="2" s="1"/>
  <c r="X12" i="2" s="1"/>
  <c r="Y13" i="2" s="1"/>
  <c r="Z14" i="2" s="1"/>
  <c r="AA15" i="2" s="1"/>
  <c r="AB16" i="2" s="1"/>
  <c r="AC17" i="2" s="1"/>
  <c r="AD18" i="2" s="1"/>
  <c r="AE19" i="2" s="1"/>
  <c r="AF20" i="2" s="1"/>
  <c r="AG21" i="2" s="1"/>
  <c r="U8" i="2"/>
  <c r="V9" i="2" s="1"/>
  <c r="W10" i="2" s="1"/>
  <c r="X11" i="2" s="1"/>
  <c r="Y12" i="2" s="1"/>
  <c r="Z13" i="2" s="1"/>
  <c r="AA14" i="2" s="1"/>
  <c r="AB15" i="2" s="1"/>
  <c r="AC16" i="2" s="1"/>
  <c r="U10" i="2"/>
  <c r="V11" i="2" s="1"/>
  <c r="W12" i="2" s="1"/>
  <c r="X13" i="2" s="1"/>
  <c r="Y14" i="2" s="1"/>
  <c r="Z15" i="2" s="1"/>
  <c r="AA16" i="2" s="1"/>
  <c r="AB17" i="2" s="1"/>
  <c r="AC18" i="2" s="1"/>
  <c r="AD19" i="2" s="1"/>
  <c r="AE20" i="2" s="1"/>
  <c r="AF21" i="2" s="1"/>
  <c r="U4" i="2"/>
  <c r="U5" i="2"/>
  <c r="V6" i="2" s="1"/>
  <c r="V4" i="2" l="1"/>
  <c r="V5" i="2"/>
  <c r="V7" i="2"/>
  <c r="W8" i="2" s="1"/>
  <c r="X9" i="2" s="1"/>
  <c r="Y10" i="2" s="1"/>
  <c r="Z11" i="2" s="1"/>
  <c r="AA12" i="2" s="1"/>
  <c r="AB13" i="2" s="1"/>
  <c r="AC14" i="2" s="1"/>
  <c r="AD15" i="2" s="1"/>
  <c r="AE16" i="2" s="1"/>
  <c r="AF17" i="2" s="1"/>
  <c r="AG18" i="2" s="1"/>
  <c r="AD17" i="2"/>
  <c r="AE18" i="2" s="1"/>
  <c r="AF19" i="2" s="1"/>
  <c r="AG20" i="2" s="1"/>
  <c r="V8" i="2"/>
  <c r="W9" i="2" s="1"/>
  <c r="X10" i="2" s="1"/>
  <c r="Y11" i="2" s="1"/>
  <c r="Z12" i="2" s="1"/>
  <c r="AA13" i="2" s="1"/>
  <c r="AB14" i="2" s="1"/>
  <c r="AC15" i="2" s="1"/>
  <c r="AD16" i="2" s="1"/>
  <c r="AE17" i="2" s="1"/>
  <c r="AF18" i="2" s="1"/>
  <c r="AG19" i="2" s="1"/>
  <c r="W6" i="2" l="1"/>
  <c r="X7" i="2" s="1"/>
  <c r="Y8" i="2" s="1"/>
  <c r="W5" i="2"/>
  <c r="W4" i="2"/>
  <c r="W7" i="2"/>
  <c r="X8" i="2" s="1"/>
  <c r="Z9" i="2" l="1"/>
  <c r="AA10" i="2" s="1"/>
  <c r="AB11" i="2" s="1"/>
  <c r="AC12" i="2" s="1"/>
  <c r="AD13" i="2" s="1"/>
  <c r="AE14" i="2" s="1"/>
  <c r="AF15" i="2" s="1"/>
  <c r="AG16" i="2" s="1"/>
  <c r="Y9" i="2"/>
  <c r="Z10" i="2" s="1"/>
  <c r="AA11" i="2" s="1"/>
  <c r="AB12" i="2" s="1"/>
  <c r="AC13" i="2" s="1"/>
  <c r="AD14" i="2" s="1"/>
  <c r="AE15" i="2" s="1"/>
  <c r="AF16" i="2" s="1"/>
  <c r="AG17" i="2" s="1"/>
  <c r="X4" i="2"/>
  <c r="X5" i="2"/>
  <c r="X6" i="2"/>
  <c r="Y7" i="2" s="1"/>
  <c r="Z8" i="2" s="1"/>
  <c r="AA9" i="2" s="1"/>
  <c r="AB10" i="2" s="1"/>
  <c r="AC11" i="2" s="1"/>
  <c r="AD12" i="2" s="1"/>
  <c r="AE13" i="2" s="1"/>
  <c r="AF14" i="2" s="1"/>
  <c r="AG15" i="2" s="1"/>
  <c r="Y6" i="2" l="1"/>
  <c r="Z7" i="2" s="1"/>
  <c r="AA8" i="2" s="1"/>
  <c r="AB9" i="2" s="1"/>
  <c r="AC10" i="2" s="1"/>
  <c r="AD11" i="2" s="1"/>
  <c r="AE12" i="2" s="1"/>
  <c r="AF13" i="2" s="1"/>
  <c r="AG14" i="2" s="1"/>
  <c r="Y4" i="2"/>
  <c r="Y5" i="2"/>
  <c r="Z6" i="2" l="1"/>
  <c r="AA7" i="2" s="1"/>
  <c r="AB8" i="2" s="1"/>
  <c r="AC9" i="2" s="1"/>
  <c r="AD10" i="2" s="1"/>
  <c r="AE11" i="2" s="1"/>
  <c r="AF12" i="2" s="1"/>
  <c r="AG13" i="2" s="1"/>
  <c r="Z4" i="2"/>
  <c r="Z5" i="2"/>
  <c r="AA6" i="2" s="1"/>
  <c r="AB7" i="2" s="1"/>
  <c r="AC8" i="2" s="1"/>
  <c r="AD9" i="2" s="1"/>
  <c r="AE10" i="2" s="1"/>
  <c r="AF11" i="2" s="1"/>
  <c r="AG12" i="2" s="1"/>
  <c r="AA5" i="2" l="1"/>
  <c r="AB6" i="2" s="1"/>
  <c r="AC7" i="2" s="1"/>
  <c r="AD8" i="2" s="1"/>
  <c r="AE9" i="2" s="1"/>
  <c r="AF10" i="2" s="1"/>
  <c r="AG11" i="2" s="1"/>
  <c r="AA4" i="2"/>
  <c r="AB4" i="2" l="1"/>
  <c r="AB5" i="2"/>
  <c r="AC6" i="2" s="1"/>
  <c r="AD7" i="2" s="1"/>
  <c r="AE8" i="2" s="1"/>
  <c r="AF9" i="2" s="1"/>
  <c r="AG10" i="2" s="1"/>
  <c r="AC4" i="2" l="1"/>
  <c r="AC5" i="2"/>
  <c r="AD6" i="2" s="1"/>
  <c r="AE7" i="2" s="1"/>
  <c r="AF8" i="2" s="1"/>
  <c r="AG9" i="2" s="1"/>
  <c r="AD4" i="2" l="1"/>
  <c r="AD5" i="2"/>
  <c r="AE6" i="2" s="1"/>
  <c r="AF7" i="2" s="1"/>
  <c r="AG8" i="2" s="1"/>
  <c r="AE5" i="2" l="1"/>
  <c r="AF6" i="2" s="1"/>
  <c r="AG7" i="2" s="1"/>
  <c r="AE4" i="2"/>
  <c r="AF5" i="2" l="1"/>
  <c r="AG6" i="2" s="1"/>
  <c r="AF4" i="2"/>
  <c r="AG4" i="2" l="1"/>
  <c r="AG5" i="2"/>
  <c r="U11" i="1" a="1"/>
  <c r="U3" i="1" a="1"/>
  <c r="U4" i="1" a="1"/>
  <c r="U7" i="1" a="1"/>
  <c r="U5" i="1" a="1"/>
  <c r="U6" i="1" a="1"/>
  <c r="U8" i="1" a="1"/>
  <c r="U9" i="1" a="1"/>
  <c r="U10" i="1" a="1"/>
  <c r="U10" i="1" l="1"/>
  <c r="W10" i="1" s="1"/>
  <c r="U9" i="1"/>
  <c r="W9" i="1" s="1"/>
  <c r="U8" i="1"/>
  <c r="W8" i="1" s="1"/>
  <c r="U6" i="1"/>
  <c r="W6" i="1" s="1"/>
  <c r="U5" i="1"/>
  <c r="W5" i="1" s="1"/>
  <c r="U7" i="1"/>
  <c r="W7" i="1" s="1"/>
  <c r="U4" i="1"/>
  <c r="W4" i="1" s="1"/>
  <c r="U3" i="1"/>
  <c r="W3" i="1" s="1"/>
  <c r="U11" i="1"/>
  <c r="W11" i="1" s="1"/>
  <c r="W13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<sst xmlns="http://schemas.openxmlformats.org/spreadsheetml/2006/main" count="55" uniqueCount="41">
  <si>
    <t xml:space="preserve">Implementation using Explicit Scheme first. </t>
  </si>
  <si>
    <t>Implied Vol Surface</t>
  </si>
  <si>
    <t>Local Volatility Surface</t>
  </si>
  <si>
    <t>Val Date</t>
  </si>
  <si>
    <t>1M</t>
  </si>
  <si>
    <t>3M</t>
  </si>
  <si>
    <t>Forward</t>
  </si>
  <si>
    <t>In %</t>
  </si>
  <si>
    <t>Spot</t>
  </si>
  <si>
    <t>Maturity Date</t>
  </si>
  <si>
    <t>Z.Rate</t>
  </si>
  <si>
    <t>O/N</t>
  </si>
  <si>
    <t>T/N</t>
  </si>
  <si>
    <t>1W</t>
  </si>
  <si>
    <t>2M</t>
  </si>
  <si>
    <t>6M</t>
  </si>
  <si>
    <t>9M</t>
  </si>
  <si>
    <t>1Y</t>
  </si>
  <si>
    <t>St.Dev Unit</t>
  </si>
  <si>
    <t>K</t>
  </si>
  <si>
    <t>Ln(K)</t>
  </si>
  <si>
    <t xml:space="preserve">div </t>
  </si>
  <si>
    <t>r</t>
  </si>
  <si>
    <t>x</t>
  </si>
  <si>
    <t>IV GRID in terms of Forward Call Price</t>
  </si>
  <si>
    <t>T</t>
  </si>
  <si>
    <t>A</t>
  </si>
  <si>
    <t>B</t>
  </si>
  <si>
    <t>C</t>
  </si>
  <si>
    <t>strike</t>
  </si>
  <si>
    <t>Ln(x)</t>
  </si>
  <si>
    <t>dt</t>
  </si>
  <si>
    <t>dx</t>
  </si>
  <si>
    <t>dt/dx^2</t>
  </si>
  <si>
    <t>sigma</t>
  </si>
  <si>
    <t>Intermediate Calculation</t>
  </si>
  <si>
    <t>PDE Price</t>
  </si>
  <si>
    <t>exp(x)</t>
  </si>
  <si>
    <t>BS76 Price</t>
  </si>
  <si>
    <t>Diff</t>
  </si>
  <si>
    <t>Minimization Func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</si>
</sst>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"/>
    <numFmt numFmtId="168" formatCode="0.000000"/>
  </numFmts>
  <fonts count="2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64" fontId="0" fillId="2" borderId="0" xfId="0" applyNumberFormat="1" applyFill="1"/>
    <xf numFmtId="0" fontId="0" fillId="3" borderId="0" xfId="0" applyFill="1" applyAlignment="1">
      <alignment horizontal="center"/>
    </xf>
    <xf numFmtId="4" fontId="0" fillId="0" borderId="0" xfId="0" applyNumberFormat="1"/>
    <xf numFmtId="4" fontId="0" fillId="4" borderId="0" xfId="0" applyNumberFormat="1" applyFill="1"/>
    <xf numFmtId="0" fontId="0" fillId="3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5" borderId="0" xfId="0" applyFill="1"/>
    <xf numFmtId="0" fontId="0" fillId="6" borderId="0" xfId="0" applyFill="1"/>
    <xf numFmtId="0" fontId="0" fillId="7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6D00E-6F5E-4B5D-86CD-6CD5629DB8F6}">
  <sheetPr codeName="Sheet1"/>
  <dimension ref="A1"/>
  <sheetViews>
    <sheetView workbookViewId="0">
      <selection activeCell="E17" sqref="E17"/>
    </sheetView>
  </sheetViews>
  <sheetFormatPr defaultRowHeight="15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403D3-E42B-4FF9-A908-3524D3BD0289}">
  <sheetPr codeName="Sheet2"/>
  <dimension ref="A1:W26"/>
  <sheetViews>
    <sheetView tabSelected="1" workbookViewId="0">
      <selection activeCell="V4" sqref="V4"/>
    </sheetView>
  </sheetViews>
  <sheetFormatPr defaultRowHeight="15" x14ac:dyDescent="0.25"/>
  <cols>
    <col min="1" max="1" width="10.5703125" bestFit="1" customWidth="1"/>
    <col min="2" max="2" width="9.7109375" bestFit="1" customWidth="1"/>
    <col min="5" max="5" width="17.42578125" customWidth="1"/>
    <col min="6" max="6" width="16.85546875" customWidth="1"/>
    <col min="9" max="9" width="11.85546875" customWidth="1"/>
    <col min="10" max="10" width="12.42578125" customWidth="1"/>
    <col min="11" max="11" width="11.140625" customWidth="1"/>
    <col min="13" max="18" width="10.7109375" bestFit="1" customWidth="1"/>
  </cols>
  <sheetData>
    <row r="1" spans="1:23" x14ac:dyDescent="0.25">
      <c r="A1" t="s">
        <v>3</v>
      </c>
      <c r="B1" s="2">
        <v>44896</v>
      </c>
      <c r="K1" s="1" t="s">
        <v>1</v>
      </c>
      <c r="M1" s="1" t="s">
        <v>2</v>
      </c>
      <c r="O1" s="9" t="s">
        <v>4</v>
      </c>
      <c r="P1" s="9"/>
      <c r="Q1" s="9" t="s">
        <v>5</v>
      </c>
      <c r="R1" s="9" t="s">
        <v>5</v>
      </c>
    </row>
    <row r="2" spans="1:23" x14ac:dyDescent="0.25">
      <c r="A2" t="s">
        <v>8</v>
      </c>
      <c r="B2">
        <v>50</v>
      </c>
      <c r="E2" s="6" t="s">
        <v>9</v>
      </c>
      <c r="F2" s="6" t="s">
        <v>10</v>
      </c>
      <c r="H2" s="3" t="s">
        <v>19</v>
      </c>
      <c r="I2" t="s">
        <v>20</v>
      </c>
      <c r="J2" s="3" t="s">
        <v>7</v>
      </c>
      <c r="K2" t="s">
        <v>4</v>
      </c>
      <c r="L2" t="s">
        <v>5</v>
      </c>
      <c r="N2" t="s">
        <v>18</v>
      </c>
      <c r="O2" s="4" t="s">
        <v>6</v>
      </c>
      <c r="P2" t="s">
        <v>30</v>
      </c>
      <c r="Q2" s="5">
        <v>44927</v>
      </c>
      <c r="R2" s="4" t="s">
        <v>6</v>
      </c>
      <c r="S2" s="5">
        <v>44986</v>
      </c>
      <c r="U2" t="s">
        <v>36</v>
      </c>
      <c r="V2" t="s">
        <v>38</v>
      </c>
      <c r="W2" t="s">
        <v>39</v>
      </c>
    </row>
    <row r="3" spans="1:23" x14ac:dyDescent="0.25">
      <c r="A3" t="s">
        <v>22</v>
      </c>
      <c r="D3" t="s">
        <v>11</v>
      </c>
      <c r="E3" s="2">
        <v>44897</v>
      </c>
      <c r="F3">
        <v>1.97994629782937</v>
      </c>
      <c r="H3" s="3">
        <f>$B$2*(1+J3%)</f>
        <v>45</v>
      </c>
      <c r="I3">
        <f>LN(H3)</f>
        <v>3.8066624897703196</v>
      </c>
      <c r="J3" s="3">
        <v>-10</v>
      </c>
      <c r="K3">
        <v>60.98</v>
      </c>
      <c r="L3">
        <v>56.07</v>
      </c>
      <c r="N3" s="3">
        <v>-3</v>
      </c>
      <c r="O3" s="7">
        <f>$O$7*EXP(N3*$K$7%*SQRT(YEARFRAC($B$1,$Q$2,3)))</f>
        <v>30.002819774143816</v>
      </c>
      <c r="P3">
        <f>LN(O3)</f>
        <v>3.4012913697166005</v>
      </c>
      <c r="Q3">
        <v>60.98</v>
      </c>
      <c r="R3" s="7">
        <f>$O$7*EXP(N3*$L$7%*SQRT(YEARFRAC($B$1,$S$2,3)))</f>
        <v>21.995408509134286</v>
      </c>
      <c r="S3">
        <v>56.07</v>
      </c>
      <c r="U3" cm="1">
        <f t="array" ref="U3">interp_lin_range('PDE Grid'!$G$3:$G$22,'PDE Grid'!$AG$3:$AG$22,Details!$O3,1)</f>
        <v>19.99718022585618</v>
      </c>
      <c r="V3" cm="1">
        <f t="array" ref="V3">Black76_Forward(1,O3,$O$7,K3,$E$15,$E$15,EXP(interp_lin_range($E$3:$E$11,$F$3:$F$11,$Q$2,1)%*YEARFRAC(B1,Q2,3)))</f>
        <v>18.455319564809173</v>
      </c>
      <c r="W3">
        <f>(U3-V3)^2</f>
        <v>2.377334298084314</v>
      </c>
    </row>
    <row r="4" spans="1:23" x14ac:dyDescent="0.25">
      <c r="A4" t="s">
        <v>21</v>
      </c>
      <c r="D4" t="s">
        <v>12</v>
      </c>
      <c r="E4" s="2">
        <v>44900</v>
      </c>
      <c r="F4">
        <v>1.97986575332015</v>
      </c>
      <c r="H4" s="3">
        <f>$B$2*(1+J4%)</f>
        <v>46.25</v>
      </c>
      <c r="I4">
        <f t="shared" ref="I4:I11" si="0">LN(H4)</f>
        <v>3.8340614639584341</v>
      </c>
      <c r="J4" s="3">
        <v>-7.5000000000000098</v>
      </c>
      <c r="K4">
        <v>60.22</v>
      </c>
      <c r="L4">
        <v>55.8</v>
      </c>
      <c r="N4" s="3">
        <v>-1.5</v>
      </c>
      <c r="O4" s="7">
        <f>$O$7*EXP(N4*$K$7%*SQRT(YEARFRAC($B$1,$Q$2,3)))</f>
        <v>38.767783388856373</v>
      </c>
      <c r="P4">
        <f t="shared" ref="P4:P11" si="1">LN(O4)</f>
        <v>3.657589576688987</v>
      </c>
      <c r="Q4">
        <v>60.22</v>
      </c>
      <c r="R4" s="7">
        <f>$O$7*EXP(N4*$L$7%*SQRT(YEARFRAC($B$1,$S$2,3)))</f>
        <v>33.193721797449292</v>
      </c>
      <c r="S4">
        <v>55.8</v>
      </c>
      <c r="U4" cm="1">
        <f t="array" ref="U4">interp_lin_range('PDE Grid'!$G$3:$G$22,'PDE Grid'!$AG$3:$AG$22,Details!$O4,1)</f>
        <v>11.724087493570181</v>
      </c>
      <c r="V4" cm="1">
        <f t="array" ref="V4">Black76_Forward(1,O4,$O$7,K4,$E$15,$E$15,EXP(interp_lin_range($E$3:$E$11,$F$3:$F$11,$Q$2,1)%*YEARFRAC(B2,Q3,3)))</f>
        <v>10.629925644589704</v>
      </c>
      <c r="W4">
        <f t="shared" ref="W4:W11" si="2">(U4-V4)^2</f>
        <v>1.1971901517643757</v>
      </c>
    </row>
    <row r="5" spans="1:23" x14ac:dyDescent="0.25">
      <c r="A5" t="s">
        <v>29</v>
      </c>
      <c r="B5">
        <v>50</v>
      </c>
      <c r="D5" t="s">
        <v>13</v>
      </c>
      <c r="E5" s="2">
        <v>44903</v>
      </c>
      <c r="F5">
        <v>2.0495971261377401</v>
      </c>
      <c r="H5" s="3">
        <f>$B$2*(1+J5%)</f>
        <v>47.5</v>
      </c>
      <c r="I5">
        <f t="shared" si="0"/>
        <v>3.8607297110405954</v>
      </c>
      <c r="J5" s="3">
        <v>-4.9999999999999902</v>
      </c>
      <c r="K5">
        <v>59.56</v>
      </c>
      <c r="L5">
        <v>55.58</v>
      </c>
      <c r="N5" s="3">
        <f>N4+0.5</f>
        <v>-1</v>
      </c>
      <c r="O5" s="7">
        <f>$O$7*EXP(N5*$K$7%*SQRT(YEARFRAC($B$1,$Q$2,3)))</f>
        <v>42.225415903628665</v>
      </c>
      <c r="P5">
        <f t="shared" si="1"/>
        <v>3.743022312346449</v>
      </c>
      <c r="Q5">
        <v>59.56</v>
      </c>
      <c r="R5" s="7">
        <f>$O$7*EXP(N5*$L$7%*SQRT(YEARFRAC($B$1,$S$2,3)))</f>
        <v>38.074182645455409</v>
      </c>
      <c r="S5">
        <v>55.58</v>
      </c>
      <c r="U5" cm="1">
        <f t="array" ref="U5">interp_lin_range('PDE Grid'!$G$3:$G$22,'PDE Grid'!$AG$3:$AG$22,Details!$O5,1)</f>
        <v>8.4089436229809795</v>
      </c>
      <c r="V5" cm="1">
        <f t="array" ref="V5">Black76_Forward(1,O5,$O$7,K5,$E$15,$E$15,EXP(interp_lin_range($E$3:$E$11,$F$3:$F$11,$Q$2,1)%*YEARFRAC(B3,Q4,3)))</f>
        <v>7.852695030959941</v>
      </c>
      <c r="W5">
        <f t="shared" si="2"/>
        <v>0.30941249612538774</v>
      </c>
    </row>
    <row r="6" spans="1:23" x14ac:dyDescent="0.25">
      <c r="D6" t="s">
        <v>4</v>
      </c>
      <c r="E6" s="2">
        <v>44929</v>
      </c>
      <c r="F6">
        <v>2.20779505579603</v>
      </c>
      <c r="H6" s="3">
        <f>$B$2*(1+J6%)</f>
        <v>48.749999999999993</v>
      </c>
      <c r="I6">
        <f t="shared" si="0"/>
        <v>3.886705197443856</v>
      </c>
      <c r="J6" s="3">
        <v>-2.5000000000000102</v>
      </c>
      <c r="K6">
        <v>59.04</v>
      </c>
      <c r="L6">
        <v>55.39</v>
      </c>
      <c r="N6" s="3">
        <f t="shared" ref="N6:N10" si="3">N5+0.5</f>
        <v>-0.5</v>
      </c>
      <c r="O6" s="7">
        <f>$O$7*EXP(N6*$K$7%*SQRT(YEARFRAC($B$1,$Q$2,3)))</f>
        <v>45.991428768324369</v>
      </c>
      <c r="P6">
        <f t="shared" si="1"/>
        <v>3.828455048003911</v>
      </c>
      <c r="Q6">
        <v>59.04</v>
      </c>
      <c r="R6" s="7">
        <f>$O$7*EXP(N6*$L$7%*SQRT(YEARFRAC($B$1,$S$2,3)))</f>
        <v>43.67221587760892</v>
      </c>
      <c r="S6">
        <v>55.39</v>
      </c>
      <c r="U6" cm="1">
        <f t="array" ref="U6">interp_lin_range('PDE Grid'!$G$3:$G$22,'PDE Grid'!$AG$3:$AG$22,Details!$O6,1)</f>
        <v>5.1056201209563774</v>
      </c>
      <c r="V6" cm="1">
        <f t="array" ref="V6">Black76_Forward(1,O6,$O$7,K6,$E$15,$E$15,EXP(interp_lin_range($E$3:$E$11,$F$3:$F$11,$Q$2,1)%*YEARFRAC(B4,Q5,3)))</f>
        <v>5.27213672866091</v>
      </c>
      <c r="W6">
        <f t="shared" si="2"/>
        <v>2.7727780641425198E-2</v>
      </c>
    </row>
    <row r="7" spans="1:23" x14ac:dyDescent="0.25">
      <c r="D7" t="s">
        <v>14</v>
      </c>
      <c r="E7" s="2">
        <v>44959</v>
      </c>
      <c r="F7">
        <v>2.35520637214952</v>
      </c>
      <c r="H7" s="3">
        <f>$B$2*(1+J7%)</f>
        <v>50</v>
      </c>
      <c r="I7">
        <f t="shared" si="0"/>
        <v>3.912023005428146</v>
      </c>
      <c r="J7" s="3">
        <v>0</v>
      </c>
      <c r="K7">
        <v>58.63</v>
      </c>
      <c r="L7">
        <v>55.25</v>
      </c>
      <c r="N7" s="3">
        <f t="shared" si="3"/>
        <v>0</v>
      </c>
      <c r="O7" s="8" cm="1">
        <f t="array" ref="O7">B2*EXP(interp_lin_range($E$3:$E$11,F3:$F$11,Q2,1)%*YEARFRAC(B1,Q2,3))</f>
        <v>50.093325900671182</v>
      </c>
      <c r="P7">
        <f t="shared" si="1"/>
        <v>3.9138877836613735</v>
      </c>
      <c r="Q7">
        <v>58.63</v>
      </c>
      <c r="R7" s="8" cm="1">
        <f t="array" ref="R7">B2*EXP(interp_lin_range($E$3:$E$11,$F3:F$11,S2,1)%*YEARFRAC(B1,S2,3))</f>
        <v>50.293424657534246</v>
      </c>
      <c r="S7">
        <v>55.25</v>
      </c>
      <c r="U7" cm="1">
        <f t="array" ref="U7">interp_lin_range('PDE Grid'!$G$3:$G$22,'PDE Grid'!$AG$3:$AG$22,Details!$O7,1)</f>
        <v>2.3188133802165747</v>
      </c>
      <c r="V7" cm="1">
        <f t="array" ref="V7">Black76_Forward(1,O7,$O$7,K7,$E$15,$E$15,EXP(interp_lin_range($E$3:$E$11,$F$3:$F$11,$Q$2,1)%*YEARFRAC(B5,Q6,3)))</f>
        <v>3.1326432400568227</v>
      </c>
      <c r="W7">
        <f t="shared" si="2"/>
        <v>0.66231904076759773</v>
      </c>
    </row>
    <row r="8" spans="1:23" x14ac:dyDescent="0.25">
      <c r="D8" t="s">
        <v>5</v>
      </c>
      <c r="E8" s="2">
        <v>44986</v>
      </c>
      <c r="F8">
        <v>2.3730436952339802</v>
      </c>
      <c r="H8" s="3">
        <f>$B$2*(1+J8%)</f>
        <v>51.249999999999993</v>
      </c>
      <c r="I8">
        <f t="shared" si="0"/>
        <v>3.9367156180185172</v>
      </c>
      <c r="J8" s="3">
        <v>2.4999999999999898</v>
      </c>
      <c r="K8">
        <v>58.36</v>
      </c>
      <c r="L8">
        <v>55.15</v>
      </c>
      <c r="N8" s="3">
        <f t="shared" si="3"/>
        <v>0.5</v>
      </c>
      <c r="O8" s="7">
        <f>$O$7*EXP(N8*$K$7%*SQRT(YEARFRAC($B$1,$Q$2,3)))</f>
        <v>54.56106424593424</v>
      </c>
      <c r="P8">
        <f t="shared" si="1"/>
        <v>3.9993205193188355</v>
      </c>
      <c r="Q8">
        <v>58.36</v>
      </c>
      <c r="R8" s="7">
        <f>$O$7*EXP(N8*$L$7%*SQRT(YEARFRAC($B$1,$S$2,3)))</f>
        <v>57.458529395972619</v>
      </c>
      <c r="S8">
        <v>55.15</v>
      </c>
      <c r="U8" cm="1">
        <f t="array" ref="U8">interp_lin_range('PDE Grid'!$G$3:$G$22,'PDE Grid'!$AG$3:$AG$22,Details!$O8,1)</f>
        <v>0.71267017125082521</v>
      </c>
      <c r="V8" cm="1">
        <f t="array" ref="V8">Black76_Forward(1,O8,$O$7,K8,$E$15,$E$15,EXP(interp_lin_range($E$3:$E$11,$F$3:$F$11,$Q$2,1)%*YEARFRAC(B6,Q7,3)))</f>
        <v>1.6062606521445546</v>
      </c>
      <c r="W8">
        <f t="shared" si="2"/>
        <v>0.79850394754388654</v>
      </c>
    </row>
    <row r="9" spans="1:23" x14ac:dyDescent="0.25">
      <c r="D9" t="s">
        <v>15</v>
      </c>
      <c r="E9" s="2">
        <v>45078</v>
      </c>
      <c r="F9">
        <v>2.6620900917825301</v>
      </c>
      <c r="H9" s="3">
        <f>$B$2*(1+J9%)</f>
        <v>52.5</v>
      </c>
      <c r="I9">
        <f t="shared" si="0"/>
        <v>3.9608131695975781</v>
      </c>
      <c r="J9" s="3">
        <v>5</v>
      </c>
      <c r="K9">
        <v>58.22</v>
      </c>
      <c r="L9">
        <v>55.08</v>
      </c>
      <c r="N9" s="3">
        <f t="shared" si="3"/>
        <v>1</v>
      </c>
      <c r="O9" s="7">
        <f>$O$7*EXP(N9*$K$7%*SQRT(YEARFRAC($B$1,$Q$2,3)))</f>
        <v>59.42727255826064</v>
      </c>
      <c r="P9">
        <f t="shared" si="1"/>
        <v>4.0847532549762979</v>
      </c>
      <c r="Q9">
        <v>58.22</v>
      </c>
      <c r="R9" s="7">
        <f>$O$7*EXP(N9*$L$7%*SQRT(YEARFRAC($B$1,$S$2,3)))</f>
        <v>65.906636083502974</v>
      </c>
      <c r="S9">
        <v>55.08</v>
      </c>
      <c r="U9" cm="1">
        <f t="array" ref="U9">interp_lin_range('PDE Grid'!$G$3:$G$22,'PDE Grid'!$AG$3:$AG$22,Details!$O9,1)</f>
        <v>0.12246483787950974</v>
      </c>
      <c r="V9" cm="1">
        <f t="array" ref="V9">Black76_Forward(1,O9,$O$7,K9,$E$15,$E$15,EXP(interp_lin_range($E$3:$E$11,$F$3:$F$11,$Q$2,1)%*YEARFRAC(B7,Q8,3)))</f>
        <v>0.69722816022332479</v>
      </c>
      <c r="W9">
        <f t="shared" si="2"/>
        <v>0.33035287671170033</v>
      </c>
    </row>
    <row r="10" spans="1:23" x14ac:dyDescent="0.25">
      <c r="D10" t="s">
        <v>16</v>
      </c>
      <c r="E10" s="2">
        <v>45170</v>
      </c>
      <c r="F10">
        <v>2.8868517681360299</v>
      </c>
      <c r="H10" s="3">
        <f>$B$2*(1+J10%)</f>
        <v>53.75</v>
      </c>
      <c r="I10">
        <f t="shared" si="0"/>
        <v>3.9843436670077721</v>
      </c>
      <c r="J10" s="3">
        <v>7.5</v>
      </c>
      <c r="K10">
        <v>58.19</v>
      </c>
      <c r="L10">
        <v>55.04</v>
      </c>
      <c r="N10" s="3">
        <f t="shared" si="3"/>
        <v>1.5</v>
      </c>
      <c r="O10" s="7">
        <f>$O$7*EXP(N10*$K$7%*SQRT(YEARFRAC($B$1,$Q$2,3)))</f>
        <v>64.727489694759115</v>
      </c>
      <c r="P10">
        <f t="shared" si="1"/>
        <v>4.1701859906337599</v>
      </c>
      <c r="Q10">
        <v>58.19</v>
      </c>
      <c r="R10" s="7">
        <f>$O$7*EXP(N10*$L$7%*SQRT(YEARFRAC($B$1,$S$2,3)))</f>
        <v>75.596864825916569</v>
      </c>
      <c r="S10">
        <v>55.04</v>
      </c>
      <c r="U10" cm="1">
        <f t="array" ref="U10">interp_lin_range('PDE Grid'!$G$3:$G$22,'PDE Grid'!$AG$3:$AG$22,Details!$O10,1)</f>
        <v>9.7938417782666379E-3</v>
      </c>
      <c r="V10" cm="1">
        <f t="array" ref="V10">Black76_Forward(1,O10,$O$7,K10,$E$15,$E$15,EXP(interp_lin_range($E$3:$E$11,$F$3:$F$11,$Q$2,1)%*YEARFRAC(B8,Q9,3)))</f>
        <v>0.25257430948093046</v>
      </c>
      <c r="W10">
        <f t="shared" si="2"/>
        <v>5.894235549792419E-2</v>
      </c>
    </row>
    <row r="11" spans="1:23" x14ac:dyDescent="0.25">
      <c r="D11" t="s">
        <v>17</v>
      </c>
      <c r="E11" s="2">
        <v>45261</v>
      </c>
      <c r="F11">
        <v>3.0671426262400101</v>
      </c>
      <c r="H11" s="3">
        <f>$B$2*(1+J11%)</f>
        <v>55.000000000000007</v>
      </c>
      <c r="I11">
        <f t="shared" si="0"/>
        <v>4.0073331852324712</v>
      </c>
      <c r="J11" s="3">
        <v>10</v>
      </c>
      <c r="K11">
        <v>58.26</v>
      </c>
      <c r="L11">
        <v>55.03</v>
      </c>
      <c r="N11" s="3">
        <v>3</v>
      </c>
      <c r="O11" s="7">
        <f>$O$7*EXP(N11*$K$7%*SQRT(YEARFRAC($B$1,$Q$2,3)))</f>
        <v>83.636848758908442</v>
      </c>
      <c r="P11">
        <f t="shared" si="1"/>
        <v>4.4264841976061469</v>
      </c>
      <c r="Q11">
        <v>58.26</v>
      </c>
      <c r="R11" s="7">
        <f>$O$7*EXP(N11*$L$7%*SQRT(YEARFRAC($B$1,$S$2,3)))</f>
        <v>114.08477813670844</v>
      </c>
      <c r="S11">
        <v>55.03</v>
      </c>
      <c r="U11" cm="1">
        <f t="array" ref="U11">interp_lin_range('PDE Grid'!$G$3:$G$22,'PDE Grid'!$AG$3:$AG$22,Details!$O11,1)</f>
        <v>1.852884572118782E-21</v>
      </c>
      <c r="V11" cm="1">
        <f t="array" ref="V11">Black76_Forward(1,O11,$O$7,K11,$E$15,$E$15,EXP(interp_lin_range($E$3:$E$11,$F$3:$F$11,$Q$2,1)%*YEARFRAC(B9,Q10,3)))</f>
        <v>3.5938867763790861E-3</v>
      </c>
      <c r="W11">
        <f t="shared" si="2"/>
        <v>1.291602216143246E-5</v>
      </c>
    </row>
    <row r="13" spans="1:23" x14ac:dyDescent="0.25">
      <c r="U13" t="s">
        <v>40</v>
      </c>
      <c r="W13">
        <f>AVERAGE(W3:W11)</f>
        <v>0.64019954035097471</v>
      </c>
    </row>
    <row r="15" spans="1:23" x14ac:dyDescent="0.25">
      <c r="E15">
        <f>YEARFRAC(B1,E17,3)</f>
        <v>8.4931506849315067E-2</v>
      </c>
    </row>
    <row r="16" spans="1:23" x14ac:dyDescent="0.25">
      <c r="D16" t="s">
        <v>24</v>
      </c>
    </row>
    <row r="17" spans="3:6" x14ac:dyDescent="0.25">
      <c r="D17" s="3"/>
      <c r="E17" s="10">
        <f>Q2</f>
        <v>44927</v>
      </c>
      <c r="F17" s="10">
        <f>S2</f>
        <v>44986</v>
      </c>
    </row>
    <row r="18" spans="3:6" x14ac:dyDescent="0.25">
      <c r="C18" t="s">
        <v>23</v>
      </c>
      <c r="D18" s="3">
        <f>I3</f>
        <v>3.8066624897703196</v>
      </c>
      <c r="E18" s="11" cm="1">
        <f t="array" ref="E18">Black76(1,$H3,$O$7,$K3,YEARFRAC($B$1,$Q$2,3),YEARFRAC($B$1,$Q$2,3),interp_lin_range($E$3:$E$11,$F$3:$F$11,E$17,1))</f>
        <v>0</v>
      </c>
      <c r="F18" s="11" cm="1">
        <f t="array" ref="F18">Black76(1,$H3,$R$7,$L3,YEARFRAC($B$1,$S$2,3),YEARFRAC($B$1,$S$2,3),interp_lin_range($E$3:$E$11,$F$3:$F$11,F$17,1)%)</f>
        <v>0</v>
      </c>
    </row>
    <row r="19" spans="3:6" x14ac:dyDescent="0.25">
      <c r="D19" s="3">
        <f t="shared" ref="D19:D26" si="4">I4</f>
        <v>3.8340614639584341</v>
      </c>
      <c r="E19" s="11" cm="1">
        <f t="array" ref="E19">Black76(1,$H4,$O$7,$K4,YEARFRAC($B$1,$Q$2,3),YEARFRAC($B$1,$Q$2,3),interp_lin_range($E$3:$E$11,$F$3:$F$11,E$17,1)%)</f>
        <v>0</v>
      </c>
      <c r="F19" s="11" cm="1">
        <f t="array" ref="F19">Black76(1,$H4,$R$7,$L4,YEARFRAC($B$1,$S$2,3),YEARFRAC($B$1,$S$2,3),interp_lin_range($E$3:$E$11,$F$3:$F$11,F$17,1)%)</f>
        <v>0</v>
      </c>
    </row>
    <row r="20" spans="3:6" x14ac:dyDescent="0.25">
      <c r="D20" s="3">
        <f t="shared" si="4"/>
        <v>3.8607297110405954</v>
      </c>
      <c r="E20" s="11" cm="1">
        <f t="array" ref="E20">Black76(1,$H5,$O$7,$K5,YEARFRAC($B$1,$Q$2,3),YEARFRAC($B$1,$Q$2,3),interp_lin_range($E$3:$E$11,$F$3:$F$11,E$17,1)%)</f>
        <v>0</v>
      </c>
      <c r="F20" s="11" cm="1">
        <f t="array" ref="F20">Black76(1,$H5,$R$7,$L5,YEARFRAC($B$1,$S$2,3),YEARFRAC($B$1,$S$2,3),interp_lin_range($E$3:$E$11,$F$3:$F$11,F$17,1)%)</f>
        <v>0</v>
      </c>
    </row>
    <row r="21" spans="3:6" x14ac:dyDescent="0.25">
      <c r="D21" s="3">
        <f t="shared" si="4"/>
        <v>3.886705197443856</v>
      </c>
      <c r="E21" s="11" cm="1">
        <f t="array" ref="E21">Black76(1,$H6,$O$7,$K6,YEARFRAC($B$1,$Q$2,3),YEARFRAC($B$1,$Q$2,3),interp_lin_range($E$3:$E$11,$F$3:$F$11,E$17,1)%)</f>
        <v>0</v>
      </c>
      <c r="F21" s="11" cm="1">
        <f t="array" ref="F21">Black76(1,$H6,$R$7,$L6,YEARFRAC($B$1,$S$2,3),YEARFRAC($B$1,$S$2,3),interp_lin_range($E$3:$E$11,$F$3:$F$11,F$17,1)%)</f>
        <v>0</v>
      </c>
    </row>
    <row r="22" spans="3:6" x14ac:dyDescent="0.25">
      <c r="D22" s="3">
        <f t="shared" si="4"/>
        <v>3.912023005428146</v>
      </c>
      <c r="E22" s="11" cm="1">
        <f t="array" ref="E22">Black76(1,$H7,$O$7,$K7,YEARFRAC($B$1,$Q$2,3),YEARFRAC($B$1,$Q$2,3),interp_lin_range($E$3:$E$11,$F$3:$F$11,E$17,1)%)</f>
        <v>0</v>
      </c>
      <c r="F22" s="11" cm="1">
        <f t="array" ref="F22">Black76(1,$H7,$R$7,$L7,YEARFRAC($B$1,$S$2,3),YEARFRAC($B$1,$S$2,3),interp_lin_range($E$3:$E$11,$F$3:$F$11,F$17,1)%)</f>
        <v>0</v>
      </c>
    </row>
    <row r="23" spans="3:6" x14ac:dyDescent="0.25">
      <c r="D23" s="3">
        <f t="shared" si="4"/>
        <v>3.9367156180185172</v>
      </c>
      <c r="E23" s="11" cm="1">
        <f t="array" ref="E23">Black76(1,$H8,$O$7,$K8,YEARFRAC($B$1,$Q$2,3),YEARFRAC($B$1,$Q$2,3),interp_lin_range($E$3:$E$11,$F$3:$F$11,E$17,1)%)</f>
        <v>0</v>
      </c>
      <c r="F23" s="11" cm="1">
        <f t="array" ref="F23">Black76(1,$H8,$R$7,$L8,YEARFRAC($B$1,$S$2,3),YEARFRAC($B$1,$S$2,3),interp_lin_range($E$3:$E$11,$F$3:$F$11,F$17,1)%)</f>
        <v>0</v>
      </c>
    </row>
    <row r="24" spans="3:6" x14ac:dyDescent="0.25">
      <c r="D24" s="3">
        <f t="shared" si="4"/>
        <v>3.9608131695975781</v>
      </c>
      <c r="E24" s="11" cm="1">
        <f t="array" ref="E24">Black76(1,$H9,$O$7,$K9,YEARFRAC($B$1,$Q$2,3),YEARFRAC($B$1,$Q$2,3),interp_lin_range($E$3:$E$11,$F$3:$F$11,E$17,1)%)</f>
        <v>0</v>
      </c>
      <c r="F24" s="11" cm="1">
        <f t="array" ref="F24">Black76(1,$H9,$R$7,$L9,YEARFRAC($B$1,$S$2,3),YEARFRAC($B$1,$S$2,3),interp_lin_range($E$3:$E$11,$F$3:$F$11,F$17,1)%)</f>
        <v>0</v>
      </c>
    </row>
    <row r="25" spans="3:6" x14ac:dyDescent="0.25">
      <c r="D25" s="3">
        <f t="shared" si="4"/>
        <v>3.9843436670077721</v>
      </c>
      <c r="E25" s="11" cm="1">
        <f t="array" ref="E25">Black76(1,$H10,$O$7,$K10,YEARFRAC($B$1,$Q$2,3),YEARFRAC($B$1,$Q$2,3),interp_lin_range($E$3:$E$11,$F$3:$F$11,E$17,1)%)</f>
        <v>0</v>
      </c>
      <c r="F25" s="11" cm="1">
        <f t="array" ref="F25">Black76(1,$H10,$R$7,$L10,YEARFRAC($B$1,$S$2,3),YEARFRAC($B$1,$S$2,3),interp_lin_range($E$3:$E$11,$F$3:$F$11,F$17,1)%)</f>
        <v>0</v>
      </c>
    </row>
    <row r="26" spans="3:6" x14ac:dyDescent="0.25">
      <c r="D26" s="3">
        <f t="shared" si="4"/>
        <v>4.0073331852324712</v>
      </c>
      <c r="E26" s="11" cm="1">
        <f t="array" ref="E26">Black76(1,$H11,$O$7,$K11,YEARFRAC($B$1,$Q$2,3),YEARFRAC($B$1,$Q$2,3),interp_lin_range($E$3:$E$11,$F$3:$F$11,E$17,1)%)</f>
        <v>0</v>
      </c>
      <c r="F26" s="11" cm="1">
        <f t="array" ref="F26">Black76(1,$H11,$R$7,$L11,YEARFRAC($B$1,$S$2,3),YEARFRAC($B$1,$S$2,3),interp_lin_range($E$3:$E$11,$F$3:$F$11,F$17,1)%)</f>
        <v>0</v>
      </c>
    </row>
  </sheetData>
  <mergeCells count="2">
    <mergeCell ref="O1:P1"/>
    <mergeCell ref="Q1:R1"/>
  </mergeCells>
  <pageMargins left="0.7" right="0.7" top="0.75" bottom="0.75" header="0.3" footer="0.3"/>
  <pageSetup paperSize="9" orientation="portrait" r:id="rId1"/>
  <headerFooter>
    <oddHeader>&amp;L&amp;"Calibri"&amp;10&amp;K000000 For Internal Use&amp;1#_x000D_&amp;C&amp;G</oddHeader>
    <oddFooter>&amp;L_x000D_&amp;1#&amp;"Calibri"&amp;10&amp;K000000 For Internal Use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47031-1C9D-434E-8999-3EFD39CD3CFA}">
  <sheetPr codeName="Sheet3"/>
  <dimension ref="A1:AG47"/>
  <sheetViews>
    <sheetView topLeftCell="H1" workbookViewId="0">
      <selection activeCell="G3" sqref="G3:G22"/>
    </sheetView>
  </sheetViews>
  <sheetFormatPr defaultRowHeight="15" x14ac:dyDescent="0.25"/>
  <cols>
    <col min="2" max="2" width="9.7109375" bestFit="1" customWidth="1"/>
    <col min="6" max="6" width="3.28515625" style="12" customWidth="1"/>
    <col min="11" max="11" width="12" bestFit="1" customWidth="1"/>
  </cols>
  <sheetData>
    <row r="1" spans="1:33" x14ac:dyDescent="0.25">
      <c r="A1" t="s">
        <v>3</v>
      </c>
      <c r="B1" s="2">
        <f>Details!B1</f>
        <v>44896</v>
      </c>
      <c r="I1" t="s">
        <v>25</v>
      </c>
    </row>
    <row r="2" spans="1:33" x14ac:dyDescent="0.25">
      <c r="A2" t="s">
        <v>8</v>
      </c>
      <c r="B2">
        <f>Details!B2</f>
        <v>50</v>
      </c>
      <c r="G2" t="s">
        <v>37</v>
      </c>
      <c r="H2" s="3" t="s">
        <v>23</v>
      </c>
      <c r="I2" cm="1">
        <f t="array" ref="I2:AG2">TRANSPOSE(linspace(0,Details!E15,25))</f>
        <v>0</v>
      </c>
      <c r="J2">
        <v>3.5388127853881279E-3</v>
      </c>
      <c r="K2">
        <v>7.0776255707762558E-3</v>
      </c>
      <c r="L2">
        <v>1.0616438356164383E-2</v>
      </c>
      <c r="M2">
        <v>1.4155251141552512E-2</v>
      </c>
      <c r="N2">
        <v>1.7694063926940638E-2</v>
      </c>
      <c r="O2">
        <v>2.1232876712328767E-2</v>
      </c>
      <c r="P2">
        <v>2.4771689497716895E-2</v>
      </c>
      <c r="Q2">
        <v>2.8310502283105023E-2</v>
      </c>
      <c r="R2">
        <v>3.1849315068493152E-2</v>
      </c>
      <c r="S2">
        <v>3.5388127853881277E-2</v>
      </c>
      <c r="T2">
        <v>3.8926940639269408E-2</v>
      </c>
      <c r="U2">
        <v>4.2465753424657533E-2</v>
      </c>
      <c r="V2">
        <v>4.6004566210045665E-2</v>
      </c>
      <c r="W2">
        <v>4.954337899543379E-2</v>
      </c>
      <c r="X2">
        <v>5.3082191780821922E-2</v>
      </c>
      <c r="Y2">
        <v>5.6621004566210047E-2</v>
      </c>
      <c r="Z2">
        <v>6.0159817351598172E-2</v>
      </c>
      <c r="AA2">
        <v>6.3698630136986303E-2</v>
      </c>
      <c r="AB2">
        <v>6.7237442922374435E-2</v>
      </c>
      <c r="AC2">
        <v>7.0776255707762553E-2</v>
      </c>
      <c r="AD2">
        <v>7.4315068493150685E-2</v>
      </c>
      <c r="AE2">
        <v>7.7853881278538817E-2</v>
      </c>
      <c r="AF2">
        <v>8.1392694063926949E-2</v>
      </c>
      <c r="AG2">
        <v>8.4931506849315067E-2</v>
      </c>
    </row>
    <row r="3" spans="1:33" x14ac:dyDescent="0.25">
      <c r="A3" t="s">
        <v>22</v>
      </c>
      <c r="B3">
        <f>Details!B3</f>
        <v>0</v>
      </c>
      <c r="E3">
        <f>EXP(H3)</f>
        <v>30.00281977414382</v>
      </c>
      <c r="G3">
        <f>EXP(H3)</f>
        <v>30.00281977414382</v>
      </c>
      <c r="H3" s="3" cm="1">
        <f t="array" ref="H3:H22">LN(linspace(Details!O3,Details!O11,20))</f>
        <v>3.4012913697166005</v>
      </c>
      <c r="I3" s="13">
        <f>MAX($B$2-EXP(H3),0)</f>
        <v>19.99718022585618</v>
      </c>
      <c r="J3" s="14">
        <f>I3</f>
        <v>19.99718022585618</v>
      </c>
      <c r="K3" s="14">
        <f t="shared" ref="K3:AG3" si="0">J3</f>
        <v>19.99718022585618</v>
      </c>
      <c r="L3" s="14">
        <f t="shared" si="0"/>
        <v>19.99718022585618</v>
      </c>
      <c r="M3" s="14">
        <f t="shared" si="0"/>
        <v>19.99718022585618</v>
      </c>
      <c r="N3" s="14">
        <f t="shared" si="0"/>
        <v>19.99718022585618</v>
      </c>
      <c r="O3" s="14">
        <f t="shared" si="0"/>
        <v>19.99718022585618</v>
      </c>
      <c r="P3" s="14">
        <f t="shared" si="0"/>
        <v>19.99718022585618</v>
      </c>
      <c r="Q3" s="14">
        <f t="shared" si="0"/>
        <v>19.99718022585618</v>
      </c>
      <c r="R3" s="14">
        <f t="shared" si="0"/>
        <v>19.99718022585618</v>
      </c>
      <c r="S3" s="14">
        <f t="shared" si="0"/>
        <v>19.99718022585618</v>
      </c>
      <c r="T3" s="14">
        <f t="shared" si="0"/>
        <v>19.99718022585618</v>
      </c>
      <c r="U3" s="14">
        <f t="shared" si="0"/>
        <v>19.99718022585618</v>
      </c>
      <c r="V3" s="14">
        <f t="shared" si="0"/>
        <v>19.99718022585618</v>
      </c>
      <c r="W3" s="14">
        <f t="shared" si="0"/>
        <v>19.99718022585618</v>
      </c>
      <c r="X3" s="14">
        <f t="shared" si="0"/>
        <v>19.99718022585618</v>
      </c>
      <c r="Y3" s="14">
        <f t="shared" si="0"/>
        <v>19.99718022585618</v>
      </c>
      <c r="Z3" s="14">
        <f t="shared" si="0"/>
        <v>19.99718022585618</v>
      </c>
      <c r="AA3" s="14">
        <f t="shared" si="0"/>
        <v>19.99718022585618</v>
      </c>
      <c r="AB3" s="14">
        <f t="shared" si="0"/>
        <v>19.99718022585618</v>
      </c>
      <c r="AC3" s="14">
        <f t="shared" si="0"/>
        <v>19.99718022585618</v>
      </c>
      <c r="AD3" s="14">
        <f t="shared" si="0"/>
        <v>19.99718022585618</v>
      </c>
      <c r="AE3" s="14">
        <f t="shared" si="0"/>
        <v>19.99718022585618</v>
      </c>
      <c r="AF3" s="14">
        <f t="shared" si="0"/>
        <v>19.99718022585618</v>
      </c>
      <c r="AG3" s="14">
        <f t="shared" si="0"/>
        <v>19.99718022585618</v>
      </c>
    </row>
    <row r="4" spans="1:33" x14ac:dyDescent="0.25">
      <c r="A4" t="s">
        <v>21</v>
      </c>
      <c r="B4">
        <f>Details!B4</f>
        <v>0</v>
      </c>
      <c r="E4">
        <f t="shared" ref="E4:E22" si="1">EXP(H4)</f>
        <v>32.825663404920896</v>
      </c>
      <c r="G4">
        <f t="shared" ref="G4:G22" si="2">EXP(H4)</f>
        <v>32.825663404920896</v>
      </c>
      <c r="H4" s="3">
        <v>3.4912106303401824</v>
      </c>
      <c r="I4" s="13">
        <f t="shared" ref="I4:I22" si="3">MAX($B$2-EXP(H4),0)</f>
        <v>17.174336595079104</v>
      </c>
      <c r="J4">
        <f>($K29-$J29)*I3+($I29+1-2*$K29)*I4+($J29+$K29)*I5</f>
        <v>17.194811894563237</v>
      </c>
      <c r="K4">
        <f t="shared" ref="K4:AG15" si="4">($K29-$J29)*J3+($I29+1-2*$K29)*J4+($J29+$K29)*J5</f>
        <v>17.213548588958801</v>
      </c>
      <c r="L4">
        <f t="shared" si="4"/>
        <v>17.230827339695754</v>
      </c>
      <c r="M4">
        <f t="shared" si="4"/>
        <v>17.246872224183722</v>
      </c>
      <c r="N4">
        <f t="shared" si="4"/>
        <v>17.261863497801293</v>
      </c>
      <c r="O4">
        <f t="shared" si="4"/>
        <v>17.275947276082498</v>
      </c>
      <c r="P4">
        <f t="shared" si="4"/>
        <v>17.289242947745954</v>
      </c>
      <c r="Q4">
        <f t="shared" si="4"/>
        <v>17.301848890323274</v>
      </c>
      <c r="R4">
        <f t="shared" si="4"/>
        <v>17.313846899357213</v>
      </c>
      <c r="S4">
        <f t="shared" si="4"/>
        <v>17.325305632211968</v>
      </c>
      <c r="T4">
        <f t="shared" si="4"/>
        <v>17.336283290971764</v>
      </c>
      <c r="U4">
        <f t="shared" si="4"/>
        <v>17.346829714462181</v>
      </c>
      <c r="V4">
        <f t="shared" si="4"/>
        <v>17.356988009877</v>
      </c>
      <c r="W4">
        <f t="shared" si="4"/>
        <v>17.36679582515255</v>
      </c>
      <c r="X4">
        <f t="shared" si="4"/>
        <v>17.376286341047326</v>
      </c>
      <c r="Y4">
        <f t="shared" si="4"/>
        <v>17.385489044838987</v>
      </c>
      <c r="Z4">
        <f t="shared" si="4"/>
        <v>17.394430334285389</v>
      </c>
      <c r="AA4">
        <f t="shared" si="4"/>
        <v>17.403133990076718</v>
      </c>
      <c r="AB4">
        <f t="shared" si="4"/>
        <v>17.411621546771894</v>
      </c>
      <c r="AC4">
        <f t="shared" si="4"/>
        <v>17.41991258568471</v>
      </c>
      <c r="AD4">
        <f t="shared" si="4"/>
        <v>17.428024968005712</v>
      </c>
      <c r="AE4">
        <f t="shared" si="4"/>
        <v>17.435975022340273</v>
      </c>
      <c r="AF4">
        <f t="shared" si="4"/>
        <v>17.443777697597334</v>
      </c>
      <c r="AG4">
        <f t="shared" si="4"/>
        <v>17.451446689606772</v>
      </c>
    </row>
    <row r="5" spans="1:33" x14ac:dyDescent="0.25">
      <c r="A5" t="s">
        <v>29</v>
      </c>
      <c r="B5">
        <f>Details!B5</f>
        <v>50</v>
      </c>
      <c r="E5">
        <f t="shared" si="1"/>
        <v>35.648507035697982</v>
      </c>
      <c r="G5">
        <f t="shared" si="2"/>
        <v>35.648507035697982</v>
      </c>
      <c r="H5" s="3">
        <v>3.5737072676018378</v>
      </c>
      <c r="I5" s="13">
        <f t="shared" si="3"/>
        <v>14.351492964302018</v>
      </c>
      <c r="J5">
        <f t="shared" ref="J5:Y21" si="5">($K30-$J30)*I4+($I30+1-2*$K30)*I5+($J30+$K30)*I6</f>
        <v>14.371803597600284</v>
      </c>
      <c r="K5">
        <f t="shared" si="5"/>
        <v>14.392116420296526</v>
      </c>
      <c r="L5">
        <f t="shared" si="5"/>
        <v>14.412284697834894</v>
      </c>
      <c r="M5">
        <f t="shared" si="5"/>
        <v>14.432208855630009</v>
      </c>
      <c r="N5">
        <f t="shared" si="5"/>
        <v>14.451823227591932</v>
      </c>
      <c r="O5">
        <f t="shared" si="5"/>
        <v>14.471086877564584</v>
      </c>
      <c r="P5">
        <f t="shared" si="5"/>
        <v>14.489977090423745</v>
      </c>
      <c r="Q5">
        <f t="shared" si="5"/>
        <v>14.508484643114301</v>
      </c>
      <c r="R5">
        <f t="shared" si="5"/>
        <v>14.526610289352289</v>
      </c>
      <c r="S5">
        <f t="shared" si="5"/>
        <v>14.544362094562189</v>
      </c>
      <c r="T5">
        <f t="shared" si="5"/>
        <v>14.561753384460564</v>
      </c>
      <c r="U5">
        <f t="shared" si="5"/>
        <v>14.578801149970516</v>
      </c>
      <c r="V5">
        <f t="shared" si="5"/>
        <v>14.595524800860975</v>
      </c>
      <c r="W5">
        <f t="shared" si="5"/>
        <v>14.611945191959151</v>
      </c>
      <c r="X5">
        <f t="shared" si="5"/>
        <v>14.628083866025893</v>
      </c>
      <c r="Y5">
        <f t="shared" si="5"/>
        <v>14.643962470757087</v>
      </c>
      <c r="Z5">
        <f t="shared" si="4"/>
        <v>14.659602316533951</v>
      </c>
      <c r="AA5">
        <f t="shared" si="4"/>
        <v>14.675024048096377</v>
      </c>
      <c r="AB5">
        <f t="shared" si="4"/>
        <v>14.690247408218021</v>
      </c>
      <c r="AC5">
        <f t="shared" si="4"/>
        <v>14.70529107529142</v>
      </c>
      <c r="AD5">
        <f t="shared" si="4"/>
        <v>14.720172559825272</v>
      </c>
      <c r="AE5">
        <f t="shared" si="4"/>
        <v>14.734908147416302</v>
      </c>
      <c r="AF5">
        <f t="shared" si="4"/>
        <v>14.749512877908574</v>
      </c>
      <c r="AG5">
        <f t="shared" si="4"/>
        <v>14.764000552272302</v>
      </c>
    </row>
    <row r="6" spans="1:33" x14ac:dyDescent="0.25">
      <c r="E6">
        <f t="shared" si="1"/>
        <v>38.471350666475068</v>
      </c>
      <c r="G6">
        <f t="shared" si="2"/>
        <v>38.471350666475068</v>
      </c>
      <c r="H6" s="3">
        <v>3.6499138257521149</v>
      </c>
      <c r="I6" s="13">
        <f t="shared" si="3"/>
        <v>11.528649333524932</v>
      </c>
      <c r="J6">
        <f t="shared" si="5"/>
        <v>11.548808446568133</v>
      </c>
      <c r="K6">
        <f t="shared" si="4"/>
        <v>11.568954330468003</v>
      </c>
      <c r="L6">
        <f t="shared" si="4"/>
        <v>11.589089731884798</v>
      </c>
      <c r="M6">
        <f t="shared" si="4"/>
        <v>11.60920466539033</v>
      </c>
      <c r="N6">
        <f t="shared" si="4"/>
        <v>11.629287995904718</v>
      </c>
      <c r="O6">
        <f t="shared" si="4"/>
        <v>11.649332557758321</v>
      </c>
      <c r="P6">
        <f t="shared" si="4"/>
        <v>11.669336704687847</v>
      </c>
      <c r="Q6">
        <f t="shared" si="4"/>
        <v>11.689304034458159</v>
      </c>
      <c r="R6">
        <f t="shared" si="4"/>
        <v>11.709242306932158</v>
      </c>
      <c r="S6">
        <f t="shared" si="4"/>
        <v>11.729162124914406</v>
      </c>
      <c r="T6">
        <f t="shared" si="4"/>
        <v>11.749075674045368</v>
      </c>
      <c r="U6">
        <f t="shared" si="4"/>
        <v>11.768995656740579</v>
      </c>
      <c r="V6">
        <f t="shared" si="4"/>
        <v>11.788934463662436</v>
      </c>
      <c r="W6">
        <f t="shared" si="4"/>
        <v>11.808903577458143</v>
      </c>
      <c r="X6">
        <f t="shared" si="4"/>
        <v>11.828913180286666</v>
      </c>
      <c r="Y6">
        <f t="shared" si="4"/>
        <v>11.848971928175292</v>
      </c>
      <c r="Z6">
        <f t="shared" si="4"/>
        <v>11.869086854809906</v>
      </c>
      <c r="AA6">
        <f t="shared" si="4"/>
        <v>11.889263370934298</v>
      </c>
      <c r="AB6">
        <f t="shared" si="4"/>
        <v>11.909505330747773</v>
      </c>
      <c r="AC6">
        <f t="shared" si="4"/>
        <v>11.929815142223617</v>
      </c>
      <c r="AD6">
        <f t="shared" si="4"/>
        <v>11.950193903436697</v>
      </c>
      <c r="AE6">
        <f t="shared" si="4"/>
        <v>11.970641551477964</v>
      </c>
      <c r="AF6">
        <f t="shared" si="4"/>
        <v>11.991157014254114</v>
      </c>
      <c r="AG6">
        <f t="shared" si="4"/>
        <v>12.01173835844607</v>
      </c>
    </row>
    <row r="7" spans="1:33" x14ac:dyDescent="0.25">
      <c r="A7" t="s">
        <v>27</v>
      </c>
      <c r="E7">
        <f t="shared" si="1"/>
        <v>41.294194297252162</v>
      </c>
      <c r="G7">
        <f t="shared" si="2"/>
        <v>41.294194297252162</v>
      </c>
      <c r="H7" s="3">
        <v>3.7207219161691354</v>
      </c>
      <c r="I7" s="13">
        <f t="shared" si="3"/>
        <v>8.7058057027478384</v>
      </c>
      <c r="J7">
        <f t="shared" si="5"/>
        <v>8.7256246168472096</v>
      </c>
      <c r="K7">
        <f t="shared" si="4"/>
        <v>8.74544964347308</v>
      </c>
      <c r="L7">
        <f t="shared" si="4"/>
        <v>8.7652792249576592</v>
      </c>
      <c r="M7">
        <f t="shared" si="4"/>
        <v>8.7851862430762431</v>
      </c>
      <c r="N7">
        <f t="shared" si="4"/>
        <v>8.8052715605884426</v>
      </c>
      <c r="O7">
        <f t="shared" si="4"/>
        <v>8.8256377296006274</v>
      </c>
      <c r="P7">
        <f t="shared" si="4"/>
        <v>8.8463752935328426</v>
      </c>
      <c r="Q7">
        <f t="shared" si="4"/>
        <v>8.8675567510799205</v>
      </c>
      <c r="R7">
        <f t="shared" si="4"/>
        <v>8.8892350091706636</v>
      </c>
      <c r="S7">
        <f t="shared" si="4"/>
        <v>8.9114443149602636</v>
      </c>
      <c r="T7">
        <f t="shared" si="4"/>
        <v>8.9342024198223484</v>
      </c>
      <c r="U7">
        <f t="shared" si="4"/>
        <v>8.9575132237461279</v>
      </c>
      <c r="V7">
        <f t="shared" si="4"/>
        <v>8.9813694661719907</v>
      </c>
      <c r="W7">
        <f t="shared" si="4"/>
        <v>9.0057552295491252</v>
      </c>
      <c r="X7">
        <f t="shared" si="4"/>
        <v>9.0306481453245198</v>
      </c>
      <c r="Y7">
        <f t="shared" si="4"/>
        <v>9.0560212657512871</v>
      </c>
      <c r="Z7">
        <f t="shared" si="4"/>
        <v>9.0818446068067313</v>
      </c>
      <c r="AA7">
        <f t="shared" si="4"/>
        <v>9.1080863894776982</v>
      </c>
      <c r="AB7">
        <f t="shared" si="4"/>
        <v>9.1347140164341205</v>
      </c>
      <c r="AC7">
        <f t="shared" si="4"/>
        <v>9.1616948236633533</v>
      </c>
      <c r="AD7">
        <f t="shared" si="4"/>
        <v>9.1889966451539156</v>
      </c>
      <c r="AE7">
        <f t="shared" si="4"/>
        <v>9.2165882251804021</v>
      </c>
      <c r="AF7">
        <f t="shared" si="4"/>
        <v>9.2444395083562725</v>
      </c>
      <c r="AG7">
        <f t="shared" si="4"/>
        <v>9.2725218330924672</v>
      </c>
    </row>
    <row r="8" spans="1:33" x14ac:dyDescent="0.25">
      <c r="A8" t="s">
        <v>28</v>
      </c>
      <c r="E8">
        <f t="shared" si="1"/>
        <v>44.117037928029241</v>
      </c>
      <c r="G8">
        <f t="shared" si="2"/>
        <v>44.117037928029241</v>
      </c>
      <c r="H8" s="3">
        <v>3.7868460554141525</v>
      </c>
      <c r="I8" s="13">
        <f t="shared" si="3"/>
        <v>5.8829620719707592</v>
      </c>
      <c r="J8">
        <f t="shared" si="5"/>
        <v>5.9024907273226681</v>
      </c>
      <c r="K8">
        <f t="shared" si="4"/>
        <v>5.9220257691669866</v>
      </c>
      <c r="L8">
        <f t="shared" si="4"/>
        <v>5.942559184291075</v>
      </c>
      <c r="M8">
        <f t="shared" si="4"/>
        <v>5.9646297567487849</v>
      </c>
      <c r="N8">
        <f t="shared" si="4"/>
        <v>5.9884835466141393</v>
      </c>
      <c r="O8">
        <f t="shared" si="4"/>
        <v>6.0141821140622937</v>
      </c>
      <c r="P8">
        <f t="shared" si="4"/>
        <v>6.0416748871853594</v>
      </c>
      <c r="Q8">
        <f t="shared" si="4"/>
        <v>6.0708470216506765</v>
      </c>
      <c r="R8">
        <f t="shared" si="4"/>
        <v>6.1015505892969184</v>
      </c>
      <c r="S8">
        <f t="shared" si="4"/>
        <v>6.1336244946906584</v>
      </c>
      <c r="T8">
        <f t="shared" si="4"/>
        <v>6.1669068279715002</v>
      </c>
      <c r="U8">
        <f t="shared" si="4"/>
        <v>6.2012421918082934</v>
      </c>
      <c r="V8">
        <f t="shared" si="4"/>
        <v>6.236485731503949</v>
      </c>
      <c r="W8">
        <f t="shared" si="4"/>
        <v>6.2725050397483297</v>
      </c>
      <c r="X8">
        <f t="shared" si="4"/>
        <v>6.3091807242628839</v>
      </c>
      <c r="Y8">
        <f t="shared" si="4"/>
        <v>6.3464061640290819</v>
      </c>
      <c r="Z8">
        <f t="shared" si="4"/>
        <v>6.3840868006814766</v>
      </c>
      <c r="AA8">
        <f t="shared" si="4"/>
        <v>6.4221391900864733</v>
      </c>
      <c r="AB8">
        <f t="shared" si="4"/>
        <v>6.4604899571564962</v>
      </c>
      <c r="AC8">
        <f t="shared" si="4"/>
        <v>6.4990747421212012</v>
      </c>
      <c r="AD8">
        <f t="shared" si="4"/>
        <v>6.5378371901864787</v>
      </c>
      <c r="AE8">
        <f t="shared" si="4"/>
        <v>6.5767280128194354</v>
      </c>
      <c r="AF8">
        <f t="shared" si="4"/>
        <v>6.6157041337157159</v>
      </c>
      <c r="AG8">
        <f t="shared" si="4"/>
        <v>6.6547279230299088</v>
      </c>
    </row>
    <row r="9" spans="1:33" x14ac:dyDescent="0.25">
      <c r="E9">
        <f t="shared" si="1"/>
        <v>46.93988155880632</v>
      </c>
      <c r="G9">
        <f t="shared" si="2"/>
        <v>46.93988155880632</v>
      </c>
      <c r="H9" s="3">
        <v>3.8488676671731308</v>
      </c>
      <c r="I9" s="13">
        <f t="shared" si="3"/>
        <v>3.0601184411936799</v>
      </c>
      <c r="J9">
        <f t="shared" si="5"/>
        <v>3.079416426895949</v>
      </c>
      <c r="K9">
        <f t="shared" si="4"/>
        <v>3.1122216458687841</v>
      </c>
      <c r="L9">
        <f t="shared" si="4"/>
        <v>3.1544452642807328</v>
      </c>
      <c r="M9">
        <f t="shared" si="4"/>
        <v>3.2031519768928098</v>
      </c>
      <c r="N9">
        <f t="shared" si="4"/>
        <v>3.2562357412565781</v>
      </c>
      <c r="O9">
        <f t="shared" si="4"/>
        <v>3.3121871929223516</v>
      </c>
      <c r="P9">
        <f t="shared" si="4"/>
        <v>3.369926636091896</v>
      </c>
      <c r="Q9">
        <f t="shared" si="4"/>
        <v>3.4286839868296193</v>
      </c>
      <c r="R9">
        <f t="shared" si="4"/>
        <v>3.4879123714409856</v>
      </c>
      <c r="S9">
        <f t="shared" si="4"/>
        <v>3.547225875918981</v>
      </c>
      <c r="T9">
        <f t="shared" si="4"/>
        <v>3.6063546465901775</v>
      </c>
      <c r="U9">
        <f t="shared" si="4"/>
        <v>3.6651124716629613</v>
      </c>
      <c r="V9">
        <f t="shared" si="4"/>
        <v>3.7233733514993985</v>
      </c>
      <c r="W9">
        <f t="shared" si="4"/>
        <v>3.7810545506712359</v>
      </c>
      <c r="X9">
        <f t="shared" si="4"/>
        <v>3.8381043299533619</v>
      </c>
      <c r="Y9">
        <f t="shared" si="4"/>
        <v>3.8944930615603188</v>
      </c>
      <c r="Z9">
        <f t="shared" si="4"/>
        <v>3.9502067932506844</v>
      </c>
      <c r="AA9">
        <f t="shared" si="4"/>
        <v>4.0052425871054087</v>
      </c>
      <c r="AB9">
        <f t="shared" si="4"/>
        <v>4.0596051458536078</v>
      </c>
      <c r="AC9">
        <f t="shared" si="4"/>
        <v>4.1133043742922535</v>
      </c>
      <c r="AD9">
        <f t="shared" si="4"/>
        <v>4.1663536204292866</v>
      </c>
      <c r="AE9">
        <f t="shared" si="4"/>
        <v>4.2187684110620571</v>
      </c>
      <c r="AF9">
        <f t="shared" si="4"/>
        <v>4.270565547166461</v>
      </c>
      <c r="AG9">
        <f t="shared" si="4"/>
        <v>4.3217624611511978</v>
      </c>
    </row>
    <row r="10" spans="1:33" x14ac:dyDescent="0.25">
      <c r="E10">
        <f t="shared" si="1"/>
        <v>49.762725189583414</v>
      </c>
      <c r="G10">
        <f t="shared" si="2"/>
        <v>49.762725189583414</v>
      </c>
      <c r="H10" s="3">
        <v>3.907266213602977</v>
      </c>
      <c r="I10" s="13">
        <f t="shared" si="3"/>
        <v>0.23727481041658649</v>
      </c>
      <c r="J10">
        <f t="shared" si="5"/>
        <v>0.44234580487282116</v>
      </c>
      <c r="K10">
        <f t="shared" si="4"/>
        <v>0.61938345158922492</v>
      </c>
      <c r="L10">
        <f t="shared" si="4"/>
        <v>0.77462644367850442</v>
      </c>
      <c r="M10">
        <f t="shared" si="4"/>
        <v>0.91275913227686944</v>
      </c>
      <c r="N10">
        <f t="shared" si="4"/>
        <v>1.0373195328925213</v>
      </c>
      <c r="O10">
        <f t="shared" si="4"/>
        <v>1.150996967169464</v>
      </c>
      <c r="P10">
        <f t="shared" si="4"/>
        <v>1.2558497822381445</v>
      </c>
      <c r="Q10">
        <f t="shared" si="4"/>
        <v>1.3534650761385607</v>
      </c>
      <c r="R10">
        <f t="shared" si="4"/>
        <v>1.4450762498576604</v>
      </c>
      <c r="S10">
        <f t="shared" si="4"/>
        <v>1.531649819018571</v>
      </c>
      <c r="T10">
        <f t="shared" si="4"/>
        <v>1.613949762377858</v>
      </c>
      <c r="U10">
        <f t="shared" si="4"/>
        <v>1.6925854110610516</v>
      </c>
      <c r="V10">
        <f t="shared" si="4"/>
        <v>1.7680472425396316</v>
      </c>
      <c r="W10">
        <f t="shared" si="4"/>
        <v>1.8407337583735508</v>
      </c>
      <c r="X10">
        <f t="shared" si="4"/>
        <v>1.9109717670172333</v>
      </c>
      <c r="Y10">
        <f t="shared" si="4"/>
        <v>1.9790317709884901</v>
      </c>
      <c r="Z10">
        <f t="shared" si="4"/>
        <v>2.045139705752975</v>
      </c>
      <c r="AA10">
        <f t="shared" si="4"/>
        <v>2.1094859485972761</v>
      </c>
      <c r="AB10">
        <f t="shared" si="4"/>
        <v>2.1722322756085606</v>
      </c>
      <c r="AC10">
        <f t="shared" si="4"/>
        <v>2.2335172691969785</v>
      </c>
      <c r="AD10">
        <f t="shared" si="4"/>
        <v>2.2934605497501011</v>
      </c>
      <c r="AE10">
        <f t="shared" si="4"/>
        <v>2.352166110252305</v>
      </c>
      <c r="AF10">
        <f t="shared" si="4"/>
        <v>2.4097249628135082</v>
      </c>
      <c r="AG10">
        <f t="shared" si="4"/>
        <v>2.4662172543448966</v>
      </c>
    </row>
    <row r="11" spans="1:33" x14ac:dyDescent="0.25">
      <c r="A11" t="s">
        <v>31</v>
      </c>
      <c r="B11">
        <f>K2-J2</f>
        <v>3.5388127853881279E-3</v>
      </c>
      <c r="E11">
        <f t="shared" si="1"/>
        <v>52.585568820360493</v>
      </c>
      <c r="G11">
        <f t="shared" si="2"/>
        <v>52.585568820360493</v>
      </c>
      <c r="H11" s="3">
        <v>3.9624417250735227</v>
      </c>
      <c r="I11" s="13">
        <f t="shared" si="3"/>
        <v>0</v>
      </c>
      <c r="J11">
        <f t="shared" si="5"/>
        <v>1.8553967236549417E-2</v>
      </c>
      <c r="K11">
        <f t="shared" si="4"/>
        <v>5.0366838579477491E-2</v>
      </c>
      <c r="L11">
        <f t="shared" si="4"/>
        <v>9.1365328406189716E-2</v>
      </c>
      <c r="M11">
        <f t="shared" si="4"/>
        <v>0.13863198407828767</v>
      </c>
      <c r="N11">
        <f t="shared" si="4"/>
        <v>0.19007987939810272</v>
      </c>
      <c r="O11">
        <f t="shared" si="4"/>
        <v>0.24421914856353685</v>
      </c>
      <c r="P11">
        <f t="shared" si="4"/>
        <v>0.2999892987238314</v>
      </c>
      <c r="Q11">
        <f t="shared" si="4"/>
        <v>0.35663867298743129</v>
      </c>
      <c r="R11">
        <f t="shared" si="4"/>
        <v>0.41363773918428687</v>
      </c>
      <c r="S11">
        <f t="shared" si="4"/>
        <v>0.4706166658626797</v>
      </c>
      <c r="T11">
        <f t="shared" si="4"/>
        <v>0.52732035187250725</v>
      </c>
      <c r="U11">
        <f t="shared" si="4"/>
        <v>0.58357600966929568</v>
      </c>
      <c r="V11">
        <f t="shared" si="4"/>
        <v>0.63926978602669715</v>
      </c>
      <c r="W11">
        <f t="shared" si="4"/>
        <v>0.69432989450457117</v>
      </c>
      <c r="X11">
        <f t="shared" si="4"/>
        <v>0.74871444393342312</v>
      </c>
      <c r="Y11">
        <f t="shared" si="4"/>
        <v>0.80240265633385466</v>
      </c>
      <c r="Z11">
        <f t="shared" si="4"/>
        <v>0.85538853318187991</v>
      </c>
      <c r="AA11">
        <f t="shared" si="4"/>
        <v>0.90767629153132745</v>
      </c>
      <c r="AB11">
        <f t="shared" si="4"/>
        <v>0.95927708035442638</v>
      </c>
      <c r="AC11">
        <f t="shared" si="4"/>
        <v>1.0102066234039193</v>
      </c>
      <c r="AD11">
        <f t="shared" si="4"/>
        <v>1.0604835328535247</v>
      </c>
      <c r="AE11">
        <f t="shared" si="4"/>
        <v>1.110128108625396</v>
      </c>
      <c r="AF11">
        <f t="shared" si="4"/>
        <v>1.1591614893254161</v>
      </c>
      <c r="AG11">
        <f t="shared" si="4"/>
        <v>1.2076050575776207</v>
      </c>
    </row>
    <row r="12" spans="1:33" x14ac:dyDescent="0.25">
      <c r="A12" t="s">
        <v>32</v>
      </c>
      <c r="B12">
        <f>H4-H3</f>
        <v>8.9919260623581909E-2</v>
      </c>
      <c r="E12">
        <f t="shared" si="1"/>
        <v>55.408412451137572</v>
      </c>
      <c r="G12">
        <f t="shared" si="2"/>
        <v>55.408412451137572</v>
      </c>
      <c r="H12">
        <v>4.0147314315238125</v>
      </c>
      <c r="I12" s="13">
        <f t="shared" si="3"/>
        <v>0</v>
      </c>
      <c r="J12">
        <f t="shared" si="5"/>
        <v>0</v>
      </c>
      <c r="K12">
        <f t="shared" si="4"/>
        <v>1.4438200104199927E-3</v>
      </c>
      <c r="L12">
        <f t="shared" si="4"/>
        <v>5.1481921413909643E-3</v>
      </c>
      <c r="M12">
        <f t="shared" si="4"/>
        <v>1.1499202000012473E-2</v>
      </c>
      <c r="N12">
        <f t="shared" si="4"/>
        <v>2.0609696383656777E-2</v>
      </c>
      <c r="O12">
        <f t="shared" si="4"/>
        <v>3.2425105784599319E-2</v>
      </c>
      <c r="P12">
        <f t="shared" si="4"/>
        <v>4.6793811834876194E-2</v>
      </c>
      <c r="Q12">
        <f t="shared" si="4"/>
        <v>6.3513264489239829E-2</v>
      </c>
      <c r="R12">
        <f t="shared" si="4"/>
        <v>8.2359612682186167E-2</v>
      </c>
      <c r="S12">
        <f t="shared" si="4"/>
        <v>0.10310621154653331</v>
      </c>
      <c r="T12">
        <f t="shared" si="4"/>
        <v>0.12553469730624175</v>
      </c>
      <c r="U12">
        <f t="shared" si="4"/>
        <v>0.14944115881670339</v>
      </c>
      <c r="V12">
        <f t="shared" si="4"/>
        <v>0.17463912889015695</v>
      </c>
      <c r="W12">
        <f t="shared" si="4"/>
        <v>0.20096056137348312</v>
      </c>
      <c r="X12">
        <f t="shared" si="4"/>
        <v>0.22825557603805047</v>
      </c>
      <c r="Y12">
        <f t="shared" si="4"/>
        <v>0.25639148992685307</v>
      </c>
      <c r="Z12">
        <f t="shared" si="4"/>
        <v>0.28525147399405953</v>
      </c>
      <c r="AA12">
        <f t="shared" si="4"/>
        <v>0.31473305191313239</v>
      </c>
      <c r="AB12">
        <f t="shared" si="4"/>
        <v>0.34474657587087731</v>
      </c>
      <c r="AC12">
        <f t="shared" si="4"/>
        <v>0.3752137595165958</v>
      </c>
      <c r="AD12">
        <f t="shared" si="4"/>
        <v>0.40606631232720075</v>
      </c>
      <c r="AE12">
        <f t="shared" si="4"/>
        <v>0.43724469647675102</v>
      </c>
      <c r="AF12">
        <f t="shared" si="4"/>
        <v>0.46869701271793091</v>
      </c>
      <c r="AG12">
        <f t="shared" si="4"/>
        <v>0.50037801294338535</v>
      </c>
    </row>
    <row r="13" spans="1:33" x14ac:dyDescent="0.25">
      <c r="A13" t="s">
        <v>33</v>
      </c>
      <c r="B13">
        <f>B11/(B12^2)</f>
        <v>0.43767539594899646</v>
      </c>
      <c r="E13">
        <f t="shared" si="1"/>
        <v>58.231256081914665</v>
      </c>
      <c r="G13">
        <f t="shared" si="2"/>
        <v>58.231256081914665</v>
      </c>
      <c r="H13">
        <v>4.0644222566607642</v>
      </c>
      <c r="I13" s="13">
        <f t="shared" si="3"/>
        <v>0</v>
      </c>
      <c r="J13">
        <f t="shared" si="5"/>
        <v>0</v>
      </c>
      <c r="K13">
        <f t="shared" si="4"/>
        <v>0</v>
      </c>
      <c r="L13">
        <f t="shared" si="4"/>
        <v>1.1204075381502999E-4</v>
      </c>
      <c r="M13">
        <f t="shared" si="4"/>
        <v>4.9490098984595102E-4</v>
      </c>
      <c r="N13">
        <f t="shared" si="4"/>
        <v>1.3143532102670278E-3</v>
      </c>
      <c r="O13">
        <f t="shared" si="4"/>
        <v>2.721702821864647E-3</v>
      </c>
      <c r="P13">
        <f t="shared" si="4"/>
        <v>4.8436524945229958E-3</v>
      </c>
      <c r="Q13">
        <f t="shared" si="4"/>
        <v>7.7789551988378027E-3</v>
      </c>
      <c r="R13">
        <f t="shared" si="4"/>
        <v>1.1598939241068265E-2</v>
      </c>
      <c r="S13">
        <f t="shared" si="4"/>
        <v>1.6350064169144671E-2</v>
      </c>
      <c r="T13">
        <f t="shared" si="4"/>
        <v>2.2057374063716727E-2</v>
      </c>
      <c r="U13">
        <f t="shared" si="4"/>
        <v>2.8728174998295219E-2</v>
      </c>
      <c r="V13">
        <f t="shared" si="4"/>
        <v>3.6355558454412018E-2</v>
      </c>
      <c r="W13">
        <f t="shared" si="4"/>
        <v>4.4921577911963315E-2</v>
      </c>
      <c r="X13">
        <f t="shared" si="4"/>
        <v>5.4399999317089782E-2</v>
      </c>
      <c r="Y13">
        <f t="shared" si="4"/>
        <v>6.4758612924185291E-2</v>
      </c>
      <c r="Z13">
        <f t="shared" si="4"/>
        <v>7.5961130972325305E-2</v>
      </c>
      <c r="AA13">
        <f t="shared" si="4"/>
        <v>8.7968713948157459E-2</v>
      </c>
      <c r="AB13">
        <f t="shared" si="4"/>
        <v>0.10074117512075019</v>
      </c>
      <c r="AC13">
        <f t="shared" si="4"/>
        <v>0.11423791334312923</v>
      </c>
      <c r="AD13">
        <f t="shared" si="4"/>
        <v>0.1284186208153702</v>
      </c>
      <c r="AE13">
        <f t="shared" si="4"/>
        <v>0.14324380747426405</v>
      </c>
      <c r="AF13">
        <f t="shared" si="4"/>
        <v>0.15867517805072992</v>
      </c>
      <c r="AG13">
        <f t="shared" si="4"/>
        <v>0.17467589227452637</v>
      </c>
    </row>
    <row r="14" spans="1:33" x14ac:dyDescent="0.25">
      <c r="E14">
        <f t="shared" si="1"/>
        <v>61.054099712691773</v>
      </c>
      <c r="G14">
        <f t="shared" si="2"/>
        <v>61.054099712691773</v>
      </c>
      <c r="H14">
        <v>4.1117603516630723</v>
      </c>
      <c r="I14" s="13">
        <f t="shared" si="3"/>
        <v>0</v>
      </c>
      <c r="J14">
        <f t="shared" si="5"/>
        <v>0</v>
      </c>
      <c r="K14">
        <f t="shared" si="4"/>
        <v>0</v>
      </c>
      <c r="L14">
        <f t="shared" si="4"/>
        <v>0</v>
      </c>
      <c r="M14">
        <f t="shared" si="4"/>
        <v>8.6816160719523594E-6</v>
      </c>
      <c r="N14">
        <f t="shared" si="4"/>
        <v>4.5742105167774483E-5</v>
      </c>
      <c r="O14">
        <f t="shared" si="4"/>
        <v>1.4085022857629337E-4</v>
      </c>
      <c r="P14">
        <f t="shared" si="4"/>
        <v>3.3114740123633789E-4</v>
      </c>
      <c r="Q14">
        <f t="shared" si="4"/>
        <v>6.5837404280673318E-4</v>
      </c>
      <c r="R14">
        <f t="shared" si="4"/>
        <v>1.1661836275676113E-3</v>
      </c>
      <c r="S14">
        <f t="shared" si="4"/>
        <v>1.897898428806696E-3</v>
      </c>
      <c r="T14">
        <f t="shared" si="4"/>
        <v>2.8947843696107024E-3</v>
      </c>
      <c r="U14">
        <f t="shared" si="4"/>
        <v>4.1948275666817839E-3</v>
      </c>
      <c r="V14">
        <f t="shared" si="4"/>
        <v>5.8319497511699764E-3</v>
      </c>
      <c r="W14">
        <f t="shared" si="4"/>
        <v>7.8355831934522006E-3</v>
      </c>
      <c r="X14">
        <f t="shared" si="4"/>
        <v>1.0230525167549246E-2</v>
      </c>
      <c r="Y14">
        <f t="shared" si="4"/>
        <v>1.3036999477260686E-2</v>
      </c>
      <c r="Z14">
        <f t="shared" si="4"/>
        <v>1.6270863441501398E-2</v>
      </c>
      <c r="AA14">
        <f t="shared" si="4"/>
        <v>1.994391033330873E-2</v>
      </c>
      <c r="AB14">
        <f t="shared" si="4"/>
        <v>2.4064228170940581E-2</v>
      </c>
      <c r="AC14">
        <f t="shared" si="4"/>
        <v>2.8636585312773011E-2</v>
      </c>
      <c r="AD14">
        <f t="shared" si="4"/>
        <v>3.3662821293833696E-2</v>
      </c>
      <c r="AE14">
        <f t="shared" si="4"/>
        <v>3.914222778749292E-2</v>
      </c>
      <c r="AF14">
        <f t="shared" si="4"/>
        <v>4.5071909629676075E-2</v>
      </c>
      <c r="AG14">
        <f t="shared" si="4"/>
        <v>5.1447119703256348E-2</v>
      </c>
    </row>
    <row r="15" spans="1:33" x14ac:dyDescent="0.25">
      <c r="E15">
        <f t="shared" si="1"/>
        <v>63.876943343468859</v>
      </c>
      <c r="G15">
        <f t="shared" si="2"/>
        <v>63.876943343468859</v>
      </c>
      <c r="H15">
        <v>4.1569584722249591</v>
      </c>
      <c r="I15" s="13">
        <f t="shared" si="3"/>
        <v>0</v>
      </c>
      <c r="J15">
        <f t="shared" si="5"/>
        <v>0</v>
      </c>
      <c r="K15">
        <f t="shared" si="4"/>
        <v>0</v>
      </c>
      <c r="L15">
        <f t="shared" si="4"/>
        <v>0</v>
      </c>
      <c r="M15">
        <f t="shared" si="4"/>
        <v>0</v>
      </c>
      <c r="N15">
        <f t="shared" si="4"/>
        <v>6.7233894960180468E-7</v>
      </c>
      <c r="O15">
        <f t="shared" si="4"/>
        <v>4.1151331931657451E-6</v>
      </c>
      <c r="P15">
        <f t="shared" si="4"/>
        <v>1.4416861110371198E-5</v>
      </c>
      <c r="Q15">
        <f t="shared" si="4"/>
        <v>3.7951011795416365E-5</v>
      </c>
      <c r="R15">
        <f t="shared" si="4"/>
        <v>8.341382050568493E-5</v>
      </c>
      <c r="S15">
        <f t="shared" si="4"/>
        <v>1.6165800033032029E-4</v>
      </c>
      <c r="T15">
        <f t="shared" si="4"/>
        <v>2.8538579840048812E-4</v>
      </c>
      <c r="U15">
        <f t="shared" si="4"/>
        <v>4.6876039867920784E-4</v>
      </c>
      <c r="V15">
        <f t="shared" si="4"/>
        <v>7.269841531763572E-4</v>
      </c>
      <c r="W15">
        <f t="shared" si="4"/>
        <v>1.0758800041413218E-3</v>
      </c>
      <c r="X15">
        <f t="shared" si="4"/>
        <v>1.5315011158117788E-3</v>
      </c>
      <c r="Y15">
        <f t="shared" si="4"/>
        <v>2.109784183801343E-3</v>
      </c>
      <c r="Z15">
        <f t="shared" si="4"/>
        <v>2.8262544102109484E-3</v>
      </c>
      <c r="AA15">
        <f t="shared" si="4"/>
        <v>3.6957846183806931E-3</v>
      </c>
      <c r="AB15">
        <f t="shared" ref="K15:AG21" si="6">($K40-$J40)*AA14+($I40+1-2*$K40)*AA15+($J40+$K40)*AA16</f>
        <v>4.7324071573064978E-3</v>
      </c>
      <c r="AC15">
        <f t="shared" si="6"/>
        <v>5.9491747841837151E-3</v>
      </c>
      <c r="AD15">
        <f t="shared" si="6"/>
        <v>7.3580652962875167E-3</v>
      </c>
      <c r="AE15">
        <f t="shared" si="6"/>
        <v>8.9699240314038732E-3</v>
      </c>
      <c r="AF15">
        <f t="shared" si="6"/>
        <v>1.0794438239271717E-2</v>
      </c>
      <c r="AG15">
        <f t="shared" si="6"/>
        <v>1.2840137563890476E-2</v>
      </c>
    </row>
    <row r="16" spans="1:33" x14ac:dyDescent="0.25">
      <c r="E16">
        <f t="shared" si="1"/>
        <v>66.699786974245924</v>
      </c>
      <c r="G16">
        <f t="shared" si="2"/>
        <v>66.699786974245924</v>
      </c>
      <c r="H16">
        <v>4.2002017591270615</v>
      </c>
      <c r="I16" s="13">
        <f t="shared" si="3"/>
        <v>0</v>
      </c>
      <c r="J16">
        <f t="shared" si="5"/>
        <v>0</v>
      </c>
      <c r="K16">
        <f t="shared" si="6"/>
        <v>0</v>
      </c>
      <c r="L16">
        <f t="shared" si="6"/>
        <v>0</v>
      </c>
      <c r="M16">
        <f t="shared" si="6"/>
        <v>0</v>
      </c>
      <c r="N16">
        <f t="shared" si="6"/>
        <v>0</v>
      </c>
      <c r="O16">
        <f t="shared" si="6"/>
        <v>5.2074966052284648E-8</v>
      </c>
      <c r="P16">
        <f t="shared" si="6"/>
        <v>3.6308650138999627E-7</v>
      </c>
      <c r="Q16">
        <f t="shared" si="6"/>
        <v>1.4261829884924284E-6</v>
      </c>
      <c r="R16">
        <f t="shared" si="6"/>
        <v>4.1564340824239742E-6</v>
      </c>
      <c r="S16">
        <f t="shared" si="6"/>
        <v>1.0010691072224733E-5</v>
      </c>
      <c r="T16">
        <f t="shared" si="6"/>
        <v>2.1078751334402815E-5</v>
      </c>
      <c r="U16">
        <f t="shared" si="6"/>
        <v>4.0139565845631625E-5</v>
      </c>
      <c r="V16">
        <f t="shared" si="6"/>
        <v>7.068152332545343E-5</v>
      </c>
      <c r="W16">
        <f t="shared" si="6"/>
        <v>1.1688953482597387E-4</v>
      </c>
      <c r="X16">
        <f t="shared" si="6"/>
        <v>1.8360387229077014E-4</v>
      </c>
      <c r="Y16">
        <f t="shared" si="6"/>
        <v>2.7625677579072355E-4</v>
      </c>
      <c r="Z16">
        <f t="shared" si="6"/>
        <v>4.0079305438492152E-4</v>
      </c>
      <c r="AA16">
        <f t="shared" si="6"/>
        <v>5.6358054991142081E-4</v>
      </c>
      <c r="AB16">
        <f t="shared" si="6"/>
        <v>7.7131564203348211E-4</v>
      </c>
      <c r="AC16">
        <f t="shared" si="6"/>
        <v>1.030928119557406E-3</v>
      </c>
      <c r="AD16">
        <f t="shared" si="6"/>
        <v>1.3494888488317295E-3</v>
      </c>
      <c r="AE16">
        <f t="shared" si="6"/>
        <v>1.7341228141695365E-3</v>
      </c>
      <c r="AF16">
        <f t="shared" si="6"/>
        <v>2.1919293345592492E-3</v>
      </c>
      <c r="AG16">
        <f t="shared" si="6"/>
        <v>2.7299105987562493E-3</v>
      </c>
    </row>
    <row r="17" spans="5:33" x14ac:dyDescent="0.25">
      <c r="E17">
        <f t="shared" si="1"/>
        <v>69.522630605023011</v>
      </c>
      <c r="G17">
        <f t="shared" si="2"/>
        <v>69.522630605023011</v>
      </c>
      <c r="H17">
        <v>4.2416523197841478</v>
      </c>
      <c r="I17" s="13">
        <f t="shared" si="3"/>
        <v>0</v>
      </c>
      <c r="J17">
        <f t="shared" si="5"/>
        <v>0</v>
      </c>
      <c r="K17">
        <f t="shared" si="6"/>
        <v>0</v>
      </c>
      <c r="L17">
        <f t="shared" si="6"/>
        <v>0</v>
      </c>
      <c r="M17">
        <f t="shared" si="6"/>
        <v>0</v>
      </c>
      <c r="N17">
        <f t="shared" si="6"/>
        <v>0</v>
      </c>
      <c r="O17">
        <f t="shared" si="6"/>
        <v>0</v>
      </c>
      <c r="P17">
        <f t="shared" si="6"/>
        <v>4.0349547131215461E-9</v>
      </c>
      <c r="Q17">
        <f t="shared" si="6"/>
        <v>3.1569813690306078E-8</v>
      </c>
      <c r="R17">
        <f t="shared" si="6"/>
        <v>1.3741593084711633E-7</v>
      </c>
      <c r="S17">
        <f t="shared" si="6"/>
        <v>4.3928473460990424E-7</v>
      </c>
      <c r="T17">
        <f t="shared" si="6"/>
        <v>1.1507211870285316E-6</v>
      </c>
      <c r="U17">
        <f t="shared" si="6"/>
        <v>2.6165210231402106E-6</v>
      </c>
      <c r="V17">
        <f t="shared" si="6"/>
        <v>5.3476919581036162E-6</v>
      </c>
      <c r="W17">
        <f t="shared" si="6"/>
        <v>1.005337489009979E-5</v>
      </c>
      <c r="X17">
        <f t="shared" si="6"/>
        <v>1.7667715316062959E-5</v>
      </c>
      <c r="Y17">
        <f t="shared" si="6"/>
        <v>2.9370326214287074E-5</v>
      </c>
      <c r="Z17">
        <f t="shared" si="6"/>
        <v>4.6599614177353641E-5</v>
      </c>
      <c r="AA17">
        <f t="shared" si="6"/>
        <v>7.1058791998596246E-5</v>
      </c>
      <c r="AB17">
        <f t="shared" si="6"/>
        <v>1.0471484464832539E-4</v>
      </c>
      <c r="AC17">
        <f t="shared" si="6"/>
        <v>1.4979104420669045E-4</v>
      </c>
      <c r="AD17">
        <f t="shared" si="6"/>
        <v>2.08753828995741E-4</v>
      </c>
      <c r="AE17">
        <f t="shared" si="6"/>
        <v>2.8429498668439227E-4</v>
      </c>
      <c r="AF17">
        <f t="shared" si="6"/>
        <v>3.793101277537897E-4</v>
      </c>
      <c r="AG17">
        <f t="shared" si="6"/>
        <v>4.9687442220869543E-4</v>
      </c>
    </row>
    <row r="18" spans="5:33" x14ac:dyDescent="0.25">
      <c r="E18">
        <f t="shared" si="1"/>
        <v>72.345474235800069</v>
      </c>
      <c r="G18">
        <f t="shared" si="2"/>
        <v>72.345474235800069</v>
      </c>
      <c r="H18">
        <v>4.2814528973655701</v>
      </c>
      <c r="I18" s="13">
        <f t="shared" si="3"/>
        <v>0</v>
      </c>
      <c r="J18">
        <f t="shared" si="5"/>
        <v>0</v>
      </c>
      <c r="K18">
        <f t="shared" si="6"/>
        <v>0</v>
      </c>
      <c r="L18">
        <f t="shared" si="6"/>
        <v>0</v>
      </c>
      <c r="M18">
        <f t="shared" si="6"/>
        <v>0</v>
      </c>
      <c r="N18">
        <f t="shared" si="6"/>
        <v>0</v>
      </c>
      <c r="O18">
        <f t="shared" si="6"/>
        <v>0</v>
      </c>
      <c r="P18">
        <f t="shared" si="6"/>
        <v>0</v>
      </c>
      <c r="Q18">
        <f t="shared" si="6"/>
        <v>3.1275950925347193E-10</v>
      </c>
      <c r="R18">
        <f t="shared" si="6"/>
        <v>2.713415881537872E-9</v>
      </c>
      <c r="S18">
        <f t="shared" si="6"/>
        <v>1.296404009714184E-8</v>
      </c>
      <c r="T18">
        <f t="shared" si="6"/>
        <v>4.5107194454947369E-8</v>
      </c>
      <c r="U18">
        <f t="shared" si="6"/>
        <v>1.2769577569204991E-7</v>
      </c>
      <c r="V18">
        <f t="shared" si="6"/>
        <v>3.1188500333323171E-7</v>
      </c>
      <c r="W18">
        <f t="shared" si="6"/>
        <v>6.8110322515121611E-7</v>
      </c>
      <c r="X18">
        <f t="shared" si="6"/>
        <v>1.3618661899070902E-6</v>
      </c>
      <c r="Y18">
        <f t="shared" si="6"/>
        <v>2.535212120234406E-6</v>
      </c>
      <c r="Z18">
        <f t="shared" si="6"/>
        <v>4.4482081941456337E-6</v>
      </c>
      <c r="AA18">
        <f t="shared" si="6"/>
        <v>7.4250022745456616E-6</v>
      </c>
      <c r="AB18">
        <f t="shared" si="6"/>
        <v>1.1876953636803916E-5</v>
      </c>
      <c r="AC18">
        <f t="shared" si="6"/>
        <v>1.8311459735084289E-5</v>
      </c>
      <c r="AD18">
        <f t="shared" si="6"/>
        <v>2.7339190936145807E-5</v>
      </c>
      <c r="AE18">
        <f t="shared" si="6"/>
        <v>3.9679542108761653E-5</v>
      </c>
      <c r="AF18">
        <f t="shared" si="6"/>
        <v>5.6164201912197844E-5</v>
      </c>
      <c r="AG18">
        <f t="shared" si="6"/>
        <v>7.7738822810699369E-5</v>
      </c>
    </row>
    <row r="19" spans="5:33" x14ac:dyDescent="0.25">
      <c r="E19">
        <f t="shared" si="1"/>
        <v>75.168317866577155</v>
      </c>
      <c r="G19">
        <f t="shared" si="2"/>
        <v>75.168317866577155</v>
      </c>
      <c r="H19">
        <v>4.319729837216193</v>
      </c>
      <c r="I19" s="13">
        <f t="shared" si="3"/>
        <v>0</v>
      </c>
      <c r="J19">
        <f t="shared" si="5"/>
        <v>0</v>
      </c>
      <c r="K19">
        <f t="shared" si="6"/>
        <v>0</v>
      </c>
      <c r="L19">
        <f t="shared" si="6"/>
        <v>0</v>
      </c>
      <c r="M19">
        <f t="shared" si="6"/>
        <v>0</v>
      </c>
      <c r="N19">
        <f t="shared" si="6"/>
        <v>0</v>
      </c>
      <c r="O19">
        <f t="shared" si="6"/>
        <v>0</v>
      </c>
      <c r="P19">
        <f t="shared" si="6"/>
        <v>0</v>
      </c>
      <c r="Q19">
        <f t="shared" si="6"/>
        <v>0</v>
      </c>
      <c r="R19">
        <f t="shared" si="6"/>
        <v>2.4251484768990367E-11</v>
      </c>
      <c r="S19">
        <f t="shared" si="6"/>
        <v>2.3105160508499478E-10</v>
      </c>
      <c r="T19">
        <f t="shared" si="6"/>
        <v>1.2021312612396353E-9</v>
      </c>
      <c r="U19">
        <f t="shared" si="6"/>
        <v>4.5227366512222592E-9</v>
      </c>
      <c r="V19">
        <f t="shared" si="6"/>
        <v>1.3760888271761507E-8</v>
      </c>
      <c r="W19">
        <f t="shared" si="6"/>
        <v>3.5933833890090523E-8</v>
      </c>
      <c r="X19">
        <f t="shared" si="6"/>
        <v>8.3516460439886781E-8</v>
      </c>
      <c r="Y19">
        <f t="shared" si="6"/>
        <v>1.7700655883434122E-7</v>
      </c>
      <c r="Z19">
        <f t="shared" si="6"/>
        <v>3.4802113514527219E-7</v>
      </c>
      <c r="AA19">
        <f t="shared" si="6"/>
        <v>6.4286103811527127E-7</v>
      </c>
      <c r="AB19">
        <f t="shared" si="6"/>
        <v>1.1264511509907265E-6</v>
      </c>
      <c r="AC19">
        <f t="shared" si="6"/>
        <v>1.8865419532399633E-6</v>
      </c>
      <c r="AD19">
        <f t="shared" si="6"/>
        <v>3.0380458488050331E-6</v>
      </c>
      <c r="AE19">
        <f t="shared" si="6"/>
        <v>4.7273778118024908E-6</v>
      </c>
      <c r="AF19">
        <f t="shared" si="6"/>
        <v>7.1366735296606804E-6</v>
      </c>
      <c r="AG19">
        <f t="shared" si="6"/>
        <v>1.0487767893041403E-5</v>
      </c>
    </row>
    <row r="20" spans="5:33" x14ac:dyDescent="0.25">
      <c r="E20">
        <f t="shared" si="1"/>
        <v>77.99116149735427</v>
      </c>
      <c r="G20">
        <f t="shared" si="2"/>
        <v>77.99116149735427</v>
      </c>
      <c r="H20">
        <v>4.3565955061325763</v>
      </c>
      <c r="I20" s="13">
        <f t="shared" si="3"/>
        <v>0</v>
      </c>
      <c r="J20">
        <f t="shared" si="5"/>
        <v>0</v>
      </c>
      <c r="K20">
        <f t="shared" si="6"/>
        <v>0</v>
      </c>
      <c r="L20">
        <f t="shared" si="6"/>
        <v>0</v>
      </c>
      <c r="M20">
        <f t="shared" si="6"/>
        <v>0</v>
      </c>
      <c r="N20">
        <f t="shared" si="6"/>
        <v>0</v>
      </c>
      <c r="O20">
        <f t="shared" si="6"/>
        <v>0</v>
      </c>
      <c r="P20">
        <f t="shared" si="6"/>
        <v>0</v>
      </c>
      <c r="Q20">
        <f t="shared" si="6"/>
        <v>0</v>
      </c>
      <c r="R20">
        <f t="shared" si="6"/>
        <v>0</v>
      </c>
      <c r="S20">
        <f t="shared" si="6"/>
        <v>1.88111920824427E-12</v>
      </c>
      <c r="T20">
        <f t="shared" si="6"/>
        <v>1.9523869601933443E-11</v>
      </c>
      <c r="U20">
        <f t="shared" si="6"/>
        <v>1.0988163826054971E-10</v>
      </c>
      <c r="V20">
        <f t="shared" si="6"/>
        <v>4.4450076816425046E-10</v>
      </c>
      <c r="W20">
        <f t="shared" si="6"/>
        <v>1.4466069708298133E-9</v>
      </c>
      <c r="X20">
        <f t="shared" si="6"/>
        <v>4.0221742545244229E-9</v>
      </c>
      <c r="Y20">
        <f t="shared" si="6"/>
        <v>9.913729077262102E-9</v>
      </c>
      <c r="Z20">
        <f t="shared" si="6"/>
        <v>2.2202947006726497E-8</v>
      </c>
      <c r="AA20">
        <f t="shared" si="6"/>
        <v>4.5982742977165437E-8</v>
      </c>
      <c r="AB20">
        <f t="shared" si="6"/>
        <v>8.9212198169989741E-8</v>
      </c>
      <c r="AC20">
        <f t="shared" si="6"/>
        <v>1.6375909972414577E-7</v>
      </c>
      <c r="AD20">
        <f t="shared" si="6"/>
        <v>2.8662589427600436E-7</v>
      </c>
      <c r="AE20">
        <f t="shared" si="6"/>
        <v>4.8134618946734609E-7</v>
      </c>
      <c r="AF20">
        <f t="shared" si="6"/>
        <v>7.7953115726475238E-7</v>
      </c>
      <c r="AG20">
        <f t="shared" si="6"/>
        <v>1.2225387148300768E-6</v>
      </c>
    </row>
    <row r="21" spans="5:33" x14ac:dyDescent="0.25">
      <c r="E21">
        <f t="shared" si="1"/>
        <v>80.814005128131342</v>
      </c>
      <c r="G21">
        <f t="shared" si="2"/>
        <v>80.814005128131342</v>
      </c>
      <c r="H21">
        <v>4.3921502813007081</v>
      </c>
      <c r="I21" s="13">
        <f t="shared" si="3"/>
        <v>0</v>
      </c>
      <c r="J21">
        <f t="shared" si="5"/>
        <v>0</v>
      </c>
      <c r="K21">
        <f t="shared" si="6"/>
        <v>0</v>
      </c>
      <c r="L21">
        <f t="shared" si="6"/>
        <v>0</v>
      </c>
      <c r="M21">
        <f t="shared" si="6"/>
        <v>0</v>
      </c>
      <c r="N21">
        <f t="shared" si="6"/>
        <v>0</v>
      </c>
      <c r="O21">
        <f t="shared" si="6"/>
        <v>0</v>
      </c>
      <c r="P21">
        <f t="shared" si="6"/>
        <v>0</v>
      </c>
      <c r="Q21">
        <f t="shared" si="6"/>
        <v>0</v>
      </c>
      <c r="R21">
        <f t="shared" si="6"/>
        <v>0</v>
      </c>
      <c r="S21">
        <f t="shared" si="6"/>
        <v>0</v>
      </c>
      <c r="T21">
        <f t="shared" si="6"/>
        <v>1.4596176751667999E-13</v>
      </c>
      <c r="U21">
        <f t="shared" si="6"/>
        <v>1.639201600244851E-12</v>
      </c>
      <c r="V21">
        <f t="shared" si="6"/>
        <v>9.9218160372482656E-12</v>
      </c>
      <c r="W21">
        <f t="shared" si="6"/>
        <v>4.293850348639933E-11</v>
      </c>
      <c r="X21">
        <f t="shared" si="6"/>
        <v>1.4880838175217453E-10</v>
      </c>
      <c r="Y21">
        <f t="shared" si="6"/>
        <v>4.388017203254969E-10</v>
      </c>
      <c r="Z21">
        <f t="shared" si="6"/>
        <v>1.1428720670356855E-9</v>
      </c>
      <c r="AA21">
        <f t="shared" si="6"/>
        <v>2.6959393498057618E-9</v>
      </c>
      <c r="AB21">
        <f t="shared" si="6"/>
        <v>5.8635086759500903E-9</v>
      </c>
      <c r="AC21">
        <f t="shared" si="6"/>
        <v>1.1914969967501182E-8</v>
      </c>
      <c r="AD21">
        <f t="shared" si="6"/>
        <v>2.2852054841813E-8</v>
      </c>
      <c r="AE21">
        <f t="shared" si="6"/>
        <v>4.1698491018120154E-8</v>
      </c>
      <c r="AF21">
        <f t="shared" si="6"/>
        <v>7.2854999192281001E-8</v>
      </c>
      <c r="AG21">
        <f t="shared" si="6"/>
        <v>1.2252155976182504E-7</v>
      </c>
    </row>
    <row r="22" spans="5:33" x14ac:dyDescent="0.25">
      <c r="E22">
        <f t="shared" si="1"/>
        <v>83.636848758908485</v>
      </c>
      <c r="G22">
        <f t="shared" si="2"/>
        <v>83.636848758908485</v>
      </c>
      <c r="H22">
        <v>4.4264841976061469</v>
      </c>
      <c r="I22" s="13">
        <f t="shared" si="3"/>
        <v>0</v>
      </c>
      <c r="J22" s="14">
        <f>I22</f>
        <v>0</v>
      </c>
      <c r="K22" s="14">
        <f t="shared" ref="K22:AG22" si="7">J22</f>
        <v>0</v>
      </c>
      <c r="L22" s="14">
        <f t="shared" si="7"/>
        <v>0</v>
      </c>
      <c r="M22" s="14">
        <f t="shared" si="7"/>
        <v>0</v>
      </c>
      <c r="N22" s="14">
        <f t="shared" si="7"/>
        <v>0</v>
      </c>
      <c r="O22" s="14">
        <f t="shared" si="7"/>
        <v>0</v>
      </c>
      <c r="P22" s="14">
        <f t="shared" si="7"/>
        <v>0</v>
      </c>
      <c r="Q22" s="14">
        <f t="shared" si="7"/>
        <v>0</v>
      </c>
      <c r="R22" s="14">
        <f t="shared" si="7"/>
        <v>0</v>
      </c>
      <c r="S22" s="14">
        <f t="shared" si="7"/>
        <v>0</v>
      </c>
      <c r="T22" s="14">
        <f t="shared" si="7"/>
        <v>0</v>
      </c>
      <c r="U22" s="14">
        <f t="shared" si="7"/>
        <v>0</v>
      </c>
      <c r="V22" s="14">
        <f t="shared" si="7"/>
        <v>0</v>
      </c>
      <c r="W22" s="14">
        <f t="shared" si="7"/>
        <v>0</v>
      </c>
      <c r="X22" s="14">
        <f t="shared" si="7"/>
        <v>0</v>
      </c>
      <c r="Y22" s="14">
        <f t="shared" si="7"/>
        <v>0</v>
      </c>
      <c r="Z22" s="14">
        <f t="shared" si="7"/>
        <v>0</v>
      </c>
      <c r="AA22" s="14">
        <f t="shared" si="7"/>
        <v>0</v>
      </c>
      <c r="AB22" s="14">
        <f t="shared" si="7"/>
        <v>0</v>
      </c>
      <c r="AC22" s="14">
        <f t="shared" si="7"/>
        <v>0</v>
      </c>
      <c r="AD22" s="14">
        <f t="shared" si="7"/>
        <v>0</v>
      </c>
      <c r="AE22" s="14">
        <f t="shared" si="7"/>
        <v>0</v>
      </c>
      <c r="AF22" s="14">
        <f t="shared" si="7"/>
        <v>0</v>
      </c>
      <c r="AG22" s="14">
        <f t="shared" si="7"/>
        <v>0</v>
      </c>
    </row>
    <row r="26" spans="5:33" x14ac:dyDescent="0.25">
      <c r="H26" t="s">
        <v>35</v>
      </c>
    </row>
    <row r="27" spans="5:33" x14ac:dyDescent="0.25">
      <c r="H27" t="s">
        <v>34</v>
      </c>
      <c r="I27" s="3" t="s">
        <v>26</v>
      </c>
      <c r="J27" s="3" t="s">
        <v>27</v>
      </c>
      <c r="K27" s="3" t="s">
        <v>28</v>
      </c>
    </row>
    <row r="28" spans="5:33" x14ac:dyDescent="0.25">
      <c r="H28" cm="1">
        <f t="array" ref="H28">interp_lin_range(Details!$P$3:$P$11,Details!$Q$3:$Q$11,'PDE Grid'!$H3,1)</f>
        <v>60.98</v>
      </c>
      <c r="I28" s="3">
        <f>-$B$4*$B$11</f>
        <v>0</v>
      </c>
      <c r="J28">
        <f>-($B$3-$B$4+(H28%^2)/2)*($B$11/(2*$B$12))</f>
        <v>-3.658640261135244E-3</v>
      </c>
      <c r="K28">
        <f>$B$11*(H28%^2)/2*(1/($B$12^2))</f>
        <v>8.1376119771512934E-2</v>
      </c>
    </row>
    <row r="29" spans="5:33" x14ac:dyDescent="0.25">
      <c r="H29" cm="1">
        <f t="array" ref="H29">interp_lin_range(Details!$P$3:$P$11,Details!$Q$3:$Q$11,'PDE Grid'!$H4,1)</f>
        <v>60.713362792969967</v>
      </c>
      <c r="I29" s="3">
        <f t="shared" ref="I29:I47" si="8">-$B$4*$B$11</f>
        <v>0</v>
      </c>
      <c r="J29">
        <f t="shared" ref="J29:J47" si="9">-($B$3-$B$4+(H29%^2)/2)*($B$11/(2*$B$12))</f>
        <v>-3.6267151430024215E-3</v>
      </c>
      <c r="K29">
        <f t="shared" ref="K29:K47" si="10">$B$11*(H29%^2)/2*(1/($B$12^2))</f>
        <v>8.0666035682488521E-2</v>
      </c>
    </row>
    <row r="30" spans="5:33" x14ac:dyDescent="0.25">
      <c r="H30" cm="1">
        <f t="array" ref="H30">interp_lin_range(Details!$P$3:$P$11,Details!$Q$3:$Q$11,'PDE Grid'!$H5,1)</f>
        <v>60.468735859916109</v>
      </c>
      <c r="I30" s="3">
        <f t="shared" si="8"/>
        <v>0</v>
      </c>
      <c r="J30">
        <f t="shared" si="9"/>
        <v>-3.5975484218857133E-3</v>
      </c>
      <c r="K30">
        <f t="shared" si="10"/>
        <v>8.0017304344743106E-2</v>
      </c>
    </row>
    <row r="31" spans="5:33" x14ac:dyDescent="0.25">
      <c r="H31" cm="1">
        <f t="array" ref="H31">interp_lin_range(Details!$P$3:$P$11,Details!$Q$3:$Q$11,'PDE Grid'!$H6,1)</f>
        <v>60.242760872114296</v>
      </c>
      <c r="I31" s="3">
        <f t="shared" si="8"/>
        <v>0</v>
      </c>
      <c r="J31">
        <f t="shared" si="9"/>
        <v>-3.570710191561566E-3</v>
      </c>
      <c r="K31">
        <f t="shared" si="10"/>
        <v>7.9420363708487263E-2</v>
      </c>
    </row>
    <row r="32" spans="5:33" x14ac:dyDescent="0.25">
      <c r="H32" cm="1">
        <f t="array" ref="H32">interp_lin_range(Details!$P$3:$P$11,Details!$Q$3:$Q$11,'PDE Grid'!$H7,1)</f>
        <v>59.732278943940635</v>
      </c>
      <c r="I32" s="3">
        <f t="shared" si="8"/>
        <v>0</v>
      </c>
      <c r="J32">
        <f t="shared" si="9"/>
        <v>-3.5104519930340815E-3</v>
      </c>
      <c r="K32">
        <f t="shared" si="10"/>
        <v>7.8080090265187155E-2</v>
      </c>
    </row>
    <row r="33" spans="8:11" x14ac:dyDescent="0.25">
      <c r="H33" cm="1">
        <f t="array" ref="H33">interp_lin_range(Details!$P$3:$P$11,Details!$Q$3:$Q$11,'PDE Grid'!$H8,1)</f>
        <v>59.293259783620009</v>
      </c>
      <c r="I33" s="3">
        <f t="shared" si="8"/>
        <v>0</v>
      </c>
      <c r="J33">
        <f t="shared" si="9"/>
        <v>-3.4590395194035906E-3</v>
      </c>
      <c r="K33">
        <f t="shared" si="10"/>
        <v>7.6936564989869033E-2</v>
      </c>
    </row>
    <row r="34" spans="8:11" x14ac:dyDescent="0.25">
      <c r="H34" cm="1">
        <f t="array" ref="H34">interp_lin_range(Details!$P$3:$P$11,Details!$Q$3:$Q$11,'PDE Grid'!$H9,1)</f>
        <v>58.942037857093375</v>
      </c>
      <c r="I34" s="3">
        <f t="shared" si="8"/>
        <v>0</v>
      </c>
      <c r="J34">
        <f t="shared" si="9"/>
        <v>-3.4181818454034974E-3</v>
      </c>
      <c r="K34">
        <f t="shared" si="10"/>
        <v>7.6027801423159333E-2</v>
      </c>
    </row>
    <row r="35" spans="8:11" x14ac:dyDescent="0.25">
      <c r="H35" cm="1">
        <f t="array" ref="H35">interp_lin_range(Details!$P$3:$P$11,Details!$Q$3:$Q$11,'PDE Grid'!$H10,1)</f>
        <v>58.661777558134482</v>
      </c>
      <c r="I35" s="3">
        <f t="shared" si="8"/>
        <v>0</v>
      </c>
      <c r="J35">
        <f t="shared" si="9"/>
        <v>-3.3857532706382094E-3</v>
      </c>
      <c r="K35">
        <f t="shared" si="10"/>
        <v>7.5306519363222482E-2</v>
      </c>
    </row>
    <row r="36" spans="8:11" x14ac:dyDescent="0.25">
      <c r="H36" cm="1">
        <f t="array" ref="H36">interp_lin_range(Details!$P$3:$P$11,Details!$Q$3:$Q$11,'PDE Grid'!$H11,1)</f>
        <v>58.476551042988461</v>
      </c>
      <c r="I36" s="3">
        <f t="shared" si="8"/>
        <v>0</v>
      </c>
      <c r="J36">
        <f t="shared" si="9"/>
        <v>-3.3644057693661975E-3</v>
      </c>
      <c r="K36">
        <f t="shared" si="10"/>
        <v>7.4831704487655915E-2</v>
      </c>
    </row>
    <row r="37" spans="8:11" x14ac:dyDescent="0.25">
      <c r="H37" cm="1">
        <f t="array" ref="H37">interp_lin_range(Details!$P$3:$P$11,Details!$Q$3:$Q$11,'PDE Grid'!$H12,1)</f>
        <v>58.33474588994379</v>
      </c>
      <c r="I37" s="3">
        <f t="shared" si="8"/>
        <v>0</v>
      </c>
      <c r="J37">
        <f t="shared" si="9"/>
        <v>-3.3481082416637058E-3</v>
      </c>
      <c r="K37">
        <f t="shared" si="10"/>
        <v>7.4469212011862185E-2</v>
      </c>
    </row>
    <row r="38" spans="8:11" x14ac:dyDescent="0.25">
      <c r="H38" cm="1">
        <f t="array" ref="H38">interp_lin_range(Details!$P$3:$P$11,Details!$Q$3:$Q$11,'PDE Grid'!$H13,1)</f>
        <v>58.253316734414156</v>
      </c>
      <c r="I38" s="3">
        <f t="shared" si="8"/>
        <v>0</v>
      </c>
      <c r="J38">
        <f t="shared" si="9"/>
        <v>-3.3387675532392208E-3</v>
      </c>
      <c r="K38">
        <f t="shared" si="10"/>
        <v>7.4261454778101407E-2</v>
      </c>
    </row>
    <row r="39" spans="8:11" x14ac:dyDescent="0.25">
      <c r="H39" cm="1">
        <f t="array" ref="H39">interp_lin_range(Details!$P$3:$P$11,Details!$Q$3:$Q$11,'PDE Grid'!$H14,1)</f>
        <v>58.210516364782563</v>
      </c>
      <c r="I39" s="3">
        <f t="shared" si="8"/>
        <v>0</v>
      </c>
      <c r="J39">
        <f t="shared" si="9"/>
        <v>-3.3338631805142427E-3</v>
      </c>
      <c r="K39">
        <f t="shared" si="10"/>
        <v>7.4152370857905284E-2</v>
      </c>
    </row>
    <row r="40" spans="8:11" x14ac:dyDescent="0.25">
      <c r="H40" cm="1">
        <f t="array" ref="H40">interp_lin_range(Details!$P$3:$P$11,Details!$Q$3:$Q$11,'PDE Grid'!$H15,1)</f>
        <v>58.194644888744463</v>
      </c>
      <c r="I40" s="3">
        <f t="shared" si="8"/>
        <v>0</v>
      </c>
      <c r="J40">
        <f t="shared" si="9"/>
        <v>-3.3320454293824541E-3</v>
      </c>
      <c r="K40">
        <f t="shared" si="10"/>
        <v>7.4111940117723887E-2</v>
      </c>
    </row>
    <row r="41" spans="8:11" x14ac:dyDescent="0.25">
      <c r="H41" cm="1">
        <f t="array" ref="H41">interp_lin_range(Details!$P$3:$P$11,Details!$Q$3:$Q$11,'PDE Grid'!$H16,1)</f>
        <v>58.198197887216423</v>
      </c>
      <c r="I41" s="3">
        <f t="shared" si="8"/>
        <v>0</v>
      </c>
      <c r="J41">
        <f t="shared" si="9"/>
        <v>-3.33245230921621E-3</v>
      </c>
      <c r="K41">
        <f t="shared" si="10"/>
        <v>7.4120990010503998E-2</v>
      </c>
    </row>
    <row r="42" spans="8:11" x14ac:dyDescent="0.25">
      <c r="H42" cm="1">
        <f t="array" ref="H42">interp_lin_range(Details!$P$3:$P$11,Details!$Q$3:$Q$11,'PDE Grid'!$H17,1)</f>
        <v>58.209518837449636</v>
      </c>
      <c r="I42" s="3">
        <f t="shared" si="8"/>
        <v>0</v>
      </c>
      <c r="J42">
        <f t="shared" si="9"/>
        <v>-3.3337489196775534E-3</v>
      </c>
      <c r="K42">
        <f t="shared" si="10"/>
        <v>7.414982944829189E-2</v>
      </c>
    </row>
    <row r="43" spans="8:11" x14ac:dyDescent="0.25">
      <c r="H43" cm="1">
        <f t="array" ref="H43">interp_lin_range(Details!$P$3:$P$11,Details!$Q$3:$Q$11,'PDE Grid'!$H18,1)</f>
        <v>58.220389145375741</v>
      </c>
      <c r="I43" s="3">
        <f t="shared" si="8"/>
        <v>0</v>
      </c>
      <c r="J43">
        <f t="shared" si="9"/>
        <v>-3.3349941545372354E-3</v>
      </c>
      <c r="K43">
        <f t="shared" si="10"/>
        <v>7.4177526180917289E-2</v>
      </c>
    </row>
    <row r="44" spans="8:11" x14ac:dyDescent="0.25">
      <c r="H44" cm="1">
        <f t="array" ref="H44">interp_lin_range(Details!$P$3:$P$11,Details!$Q$3:$Q$11,'PDE Grid'!$H19,1)</f>
        <v>58.230843318353365</v>
      </c>
      <c r="I44" s="3">
        <f t="shared" si="8"/>
        <v>0</v>
      </c>
      <c r="J44">
        <f t="shared" si="9"/>
        <v>-3.3361919389032603E-3</v>
      </c>
      <c r="K44">
        <f t="shared" si="10"/>
        <v>7.4204167511322319E-2</v>
      </c>
    </row>
    <row r="45" spans="8:11" x14ac:dyDescent="0.25">
      <c r="H45" cm="1">
        <f t="array" ref="H45">interp_lin_range(Details!$P$3:$P$11,Details!$Q$3:$Q$11,'PDE Grid'!$H20,1)</f>
        <v>58.240912045929072</v>
      </c>
      <c r="I45" s="3">
        <f t="shared" si="8"/>
        <v>0</v>
      </c>
      <c r="J45">
        <f t="shared" si="9"/>
        <v>-3.337345764264389E-3</v>
      </c>
      <c r="K45">
        <f t="shared" si="10"/>
        <v>7.4229831097813739E-2</v>
      </c>
    </row>
    <row r="46" spans="8:11" x14ac:dyDescent="0.25">
      <c r="H46" cm="1">
        <f t="array" ref="H46">interp_lin_range(Details!$P$3:$P$11,Details!$Q$3:$Q$11,'PDE Grid'!$H21,1)</f>
        <v>58.25062274305477</v>
      </c>
      <c r="I46" s="3">
        <f t="shared" si="8"/>
        <v>0</v>
      </c>
      <c r="J46">
        <f t="shared" si="9"/>
        <v>-3.3384587501199968E-3</v>
      </c>
      <c r="K46">
        <f t="shared" si="10"/>
        <v>7.425458632484494E-2</v>
      </c>
    </row>
    <row r="47" spans="8:11" x14ac:dyDescent="0.25">
      <c r="H47" cm="1">
        <f t="array" ref="H47">interp_lin_range(Details!$P$3:$P$11,Details!$Q$3:$Q$11,'PDE Grid'!$H22,1)</f>
        <v>58.26</v>
      </c>
      <c r="I47" s="3">
        <f t="shared" si="8"/>
        <v>0</v>
      </c>
      <c r="J47">
        <f t="shared" si="9"/>
        <v>-3.3395336950332853E-3</v>
      </c>
      <c r="K47">
        <f t="shared" si="10"/>
        <v>7.4278495438550599E-2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References</vt:lpstr>
      <vt:lpstr>Details</vt:lpstr>
      <vt:lpstr>PDE Grid</vt:lpstr>
    </vt:vector>
  </TitlesOfParts>
  <Company>Ambank Berhad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Jeffrey Chong Hong Seng</dc:creator>
  <cp:lastModifiedBy>Jeffrey Chong Hong Seng</cp:lastModifiedBy>
  <dcterms:created xsi:type="dcterms:W3CDTF">2022-12-01T01:20:34Z</dcterms:created>
  <dcterms:modified xsi:type="dcterms:W3CDTF">2022-12-01T08:05:45Z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040acaa-4003-452c-8503-ac04ffd07434_Enabled">
    <vt:lpwstr>true</vt:lpwstr>
  </property>
  <property fmtid="{D5CDD505-2E9C-101B-9397-08002B2CF9AE}" pid="3" name="MSIP_Label_e040acaa-4003-452c-8503-ac04ffd07434_SetDate">
    <vt:lpwstr>2022-12-01T01:20:34Z</vt:lpwstr>
  </property>
  <property fmtid="{D5CDD505-2E9C-101B-9397-08002B2CF9AE}" pid="4" name="MSIP_Label_e040acaa-4003-452c-8503-ac04ffd07434_Method">
    <vt:lpwstr>Standard</vt:lpwstr>
  </property>
  <property fmtid="{D5CDD505-2E9C-101B-9397-08002B2CF9AE}" pid="5" name="MSIP_Label_e040acaa-4003-452c-8503-ac04ffd07434_Name">
    <vt:lpwstr>For Internal Use_Label</vt:lpwstr>
  </property>
  <property fmtid="{D5CDD505-2E9C-101B-9397-08002B2CF9AE}" pid="6" name="MSIP_Label_e040acaa-4003-452c-8503-ac04ffd07434_SiteId">
    <vt:lpwstr>29c606c9-79fd-439f-810b-9338a4e27aa8</vt:lpwstr>
  </property>
  <property fmtid="{D5CDD505-2E9C-101B-9397-08002B2CF9AE}" pid="7" name="MSIP_Label_e040acaa-4003-452c-8503-ac04ffd07434_ActionId">
    <vt:lpwstr>6cbdf3fa-15da-4eef-8a1a-951d2ff952d7</vt:lpwstr>
  </property>
  <property fmtid="{D5CDD505-2E9C-101B-9397-08002B2CF9AE}" pid="8" name="MSIP_Label_e040acaa-4003-452c-8503-ac04ffd07434_ContentBits">
    <vt:lpwstr>7</vt:lpwstr>
  </property>
</Properties>
</file>