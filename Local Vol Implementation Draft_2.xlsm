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039014B\Desktop\"/>
    </mc:Choice>
  </mc:AlternateContent>
  <xr:revisionPtr revIDLastSave="0" documentId="13_ncr:1_{34A07A5C-AB9A-4B2F-A20C-0D2541A11C58}" xr6:coauthVersionLast="47" xr6:coauthVersionMax="47" xr10:uidLastSave="{00000000-0000-0000-0000-000000000000}"/>
  <bookViews>
    <workbookView xWindow="-28920" yWindow="-120" windowWidth="29040" windowHeight="15840" activeTab="2" xr2:uid="{B43C2567-D001-47A6-966D-B1E900CFA17A}"/>
  </bookViews>
  <sheets>
    <sheet name="References" sheetId="3" r:id="rId1"/>
    <sheet name="Details" sheetId="1" r:id="rId2"/>
    <sheet name="PDE Grid" sheetId="2" r:id="rId3"/>
  </sheets>
  <functionGroups builtInGroupCount="19"/>
  <definedNames>
    <definedName name="solver_adj" localSheetId="1" hidden="1">Details!$Q$4:$Q$10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Details!$U$13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1" l="1"/>
  <c r="P19" i="1"/>
  <c r="P20" i="1"/>
  <c r="P21" i="1"/>
  <c r="P22" i="1"/>
  <c r="P23" i="1"/>
  <c r="P17" i="1"/>
  <c r="Q18" i="1"/>
  <c r="Q19" i="1"/>
  <c r="Q20" i="1"/>
  <c r="Q21" i="1"/>
  <c r="Q22" i="1"/>
  <c r="Q23" i="1"/>
  <c r="Q17" i="1"/>
  <c r="E17" i="1"/>
  <c r="O7" i="1" a="1"/>
  <c r="O7" i="1"/>
  <c r="O20" i="1" s="1"/>
  <c r="E15" i="1"/>
  <c r="B2" i="2"/>
  <c r="B3" i="2"/>
  <c r="B4" i="2"/>
  <c r="B5" i="2"/>
  <c r="B1" i="2"/>
  <c r="I2" i="2" a="1"/>
  <c r="I2" i="2" l="1"/>
  <c r="B11" i="2"/>
  <c r="I39" i="2" l="1"/>
  <c r="I38" i="2"/>
  <c r="I44" i="2"/>
  <c r="I33" i="2"/>
  <c r="I34" i="2"/>
  <c r="I40" i="2"/>
  <c r="I46" i="2"/>
  <c r="I35" i="2"/>
  <c r="I47" i="2"/>
  <c r="I30" i="2"/>
  <c r="I42" i="2"/>
  <c r="I37" i="2"/>
  <c r="I29" i="2"/>
  <c r="I41" i="2"/>
  <c r="I36" i="2"/>
  <c r="I28" i="2"/>
  <c r="I31" i="2"/>
  <c r="I43" i="2"/>
  <c r="I45" i="2"/>
  <c r="I32" i="2"/>
  <c r="T7" i="1" a="1"/>
  <c r="T7" i="1" l="1"/>
  <c r="P7" i="1"/>
  <c r="O4" i="1" l="1"/>
  <c r="O17" i="1" s="1"/>
  <c r="O11" i="1"/>
  <c r="O3" i="1"/>
  <c r="H3" i="2" a="1"/>
  <c r="T3" i="1" a="1"/>
  <c r="T4" i="1" a="1"/>
  <c r="T11" i="1" a="1"/>
  <c r="T11" i="1" l="1"/>
  <c r="T3" i="1"/>
  <c r="T4" i="1"/>
  <c r="P3" i="1"/>
  <c r="P4" i="1"/>
  <c r="G6" i="2"/>
  <c r="G12" i="2"/>
  <c r="G18" i="2"/>
  <c r="G7" i="2"/>
  <c r="G13" i="2"/>
  <c r="G19" i="2"/>
  <c r="G8" i="2"/>
  <c r="G14" i="2"/>
  <c r="G20" i="2"/>
  <c r="G9" i="2"/>
  <c r="G15" i="2"/>
  <c r="G21" i="2"/>
  <c r="G4" i="2"/>
  <c r="G10" i="2"/>
  <c r="G16" i="2"/>
  <c r="G22" i="2"/>
  <c r="G5" i="2"/>
  <c r="G11" i="2"/>
  <c r="G17" i="2"/>
  <c r="I7" i="2"/>
  <c r="I13" i="2"/>
  <c r="I19" i="2"/>
  <c r="I8" i="2"/>
  <c r="I14" i="2"/>
  <c r="I20" i="2"/>
  <c r="I16" i="2"/>
  <c r="I10" i="2"/>
  <c r="I17" i="2"/>
  <c r="I4" i="2"/>
  <c r="I9" i="2"/>
  <c r="I11" i="2"/>
  <c r="I21" i="2"/>
  <c r="I18" i="2"/>
  <c r="I5" i="2"/>
  <c r="I15" i="2"/>
  <c r="I12" i="2"/>
  <c r="I22" i="2"/>
  <c r="J22" i="2" s="1"/>
  <c r="K22" i="2" s="1"/>
  <c r="L22" i="2" s="1"/>
  <c r="M22" i="2" s="1"/>
  <c r="N22" i="2" s="1"/>
  <c r="O22" i="2" s="1"/>
  <c r="P22" i="2" s="1"/>
  <c r="Q22" i="2" s="1"/>
  <c r="R22" i="2" s="1"/>
  <c r="S22" i="2" s="1"/>
  <c r="T22" i="2" s="1"/>
  <c r="U22" i="2" s="1"/>
  <c r="V22" i="2" s="1"/>
  <c r="W22" i="2" s="1"/>
  <c r="X22" i="2" s="1"/>
  <c r="Y22" i="2" s="1"/>
  <c r="Z22" i="2" s="1"/>
  <c r="AA22" i="2" s="1"/>
  <c r="AB22" i="2" s="1"/>
  <c r="AC22" i="2" s="1"/>
  <c r="AD22" i="2" s="1"/>
  <c r="AE22" i="2" s="1"/>
  <c r="AF22" i="2" s="1"/>
  <c r="AG22" i="2" s="1"/>
  <c r="I6" i="2"/>
  <c r="E8" i="2"/>
  <c r="E14" i="2"/>
  <c r="E20" i="2"/>
  <c r="E9" i="2"/>
  <c r="E15" i="2"/>
  <c r="E21" i="2"/>
  <c r="E4" i="2"/>
  <c r="E10" i="2"/>
  <c r="E16" i="2"/>
  <c r="E22" i="2"/>
  <c r="E5" i="2"/>
  <c r="E11" i="2"/>
  <c r="E17" i="2"/>
  <c r="E6" i="2"/>
  <c r="E12" i="2"/>
  <c r="E18" i="2"/>
  <c r="E7" i="2"/>
  <c r="E13" i="2"/>
  <c r="E19" i="2"/>
  <c r="H3" i="2"/>
  <c r="P11" i="1"/>
  <c r="N5" i="1"/>
  <c r="H4" i="1"/>
  <c r="H5" i="1"/>
  <c r="H6" i="1"/>
  <c r="H7" i="1"/>
  <c r="H8" i="1"/>
  <c r="H9" i="1"/>
  <c r="H10" i="1"/>
  <c r="H11" i="1"/>
  <c r="H3" i="1"/>
  <c r="I3" i="2" l="1"/>
  <c r="G3" i="2"/>
  <c r="B12" i="2"/>
  <c r="E3" i="2"/>
  <c r="J3" i="2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I3" i="1"/>
  <c r="I10" i="1"/>
  <c r="I9" i="1"/>
  <c r="I8" i="1"/>
  <c r="I7" i="1"/>
  <c r="I6" i="1"/>
  <c r="I11" i="1"/>
  <c r="I5" i="1"/>
  <c r="I4" i="1"/>
  <c r="N6" i="1"/>
  <c r="O5" i="1"/>
  <c r="O18" i="1" s="1"/>
  <c r="T5" i="1" a="1"/>
  <c r="T5" i="1" l="1"/>
  <c r="P5" i="1"/>
  <c r="B13" i="2"/>
  <c r="N7" i="1"/>
  <c r="N8" i="1" s="1"/>
  <c r="O6" i="1"/>
  <c r="O19" i="1" s="1"/>
  <c r="T6" i="1" a="1"/>
  <c r="T6" i="1" l="1"/>
  <c r="P6" i="1"/>
  <c r="N9" i="1"/>
  <c r="O8" i="1"/>
  <c r="O21" i="1" s="1"/>
  <c r="T8" i="1" a="1"/>
  <c r="T8" i="1" l="1"/>
  <c r="P8" i="1"/>
  <c r="N10" i="1"/>
  <c r="O9" i="1"/>
  <c r="O22" i="1" s="1"/>
  <c r="T9" i="1" a="1"/>
  <c r="T9" i="1" l="1"/>
  <c r="P9" i="1"/>
  <c r="O10" i="1"/>
  <c r="O23" i="1" s="1"/>
  <c r="T10" i="1" a="1"/>
  <c r="T10" i="1" l="1"/>
  <c r="P10" i="1"/>
  <c r="H30" i="2" a="1"/>
  <c r="H44" i="2" a="1"/>
  <c r="H40" i="2" a="1"/>
  <c r="H42" i="2" a="1"/>
  <c r="H29" i="2" a="1"/>
  <c r="H47" i="2" a="1"/>
  <c r="H37" i="2" a="1"/>
  <c r="H39" i="2" a="1"/>
  <c r="H35" i="2" a="1"/>
  <c r="H34" i="2" a="1"/>
  <c r="H36" i="2" a="1"/>
  <c r="H32" i="2" a="1"/>
  <c r="H31" i="2" a="1"/>
  <c r="H33" i="2" a="1"/>
  <c r="H46" i="2" a="1"/>
  <c r="H38" i="2" a="1"/>
  <c r="H28" i="2" a="1"/>
  <c r="H43" i="2" a="1"/>
  <c r="H45" i="2" a="1"/>
  <c r="H41" i="2" a="1"/>
  <c r="H29" i="2" l="1"/>
  <c r="H41" i="2"/>
  <c r="H30" i="2"/>
  <c r="H33" i="2"/>
  <c r="H36" i="2"/>
  <c r="H39" i="2"/>
  <c r="H42" i="2"/>
  <c r="H45" i="2"/>
  <c r="H38" i="2"/>
  <c r="H31" i="2"/>
  <c r="H34" i="2"/>
  <c r="H37" i="2"/>
  <c r="H40" i="2"/>
  <c r="H43" i="2"/>
  <c r="H46" i="2"/>
  <c r="H32" i="2"/>
  <c r="H35" i="2"/>
  <c r="H47" i="2"/>
  <c r="H44" i="2"/>
  <c r="H28" i="2"/>
  <c r="J35" i="2" l="1"/>
  <c r="K35" i="2"/>
  <c r="K34" i="2"/>
  <c r="J34" i="2"/>
  <c r="K36" i="2"/>
  <c r="J36" i="2"/>
  <c r="J44" i="2"/>
  <c r="K44" i="2"/>
  <c r="J40" i="2"/>
  <c r="K40" i="2"/>
  <c r="K29" i="2"/>
  <c r="J29" i="2"/>
  <c r="K47" i="2"/>
  <c r="J47" i="2"/>
  <c r="J37" i="2"/>
  <c r="K37" i="2"/>
  <c r="J39" i="2"/>
  <c r="K39" i="2"/>
  <c r="K32" i="2"/>
  <c r="J32" i="2"/>
  <c r="K31" i="2"/>
  <c r="J31" i="2"/>
  <c r="J33" i="2"/>
  <c r="K33" i="2"/>
  <c r="K42" i="2"/>
  <c r="J42" i="2"/>
  <c r="K46" i="2"/>
  <c r="J46" i="2"/>
  <c r="J38" i="2"/>
  <c r="K38" i="2"/>
  <c r="J30" i="2"/>
  <c r="K30" i="2"/>
  <c r="J28" i="2"/>
  <c r="K28" i="2"/>
  <c r="J43" i="2"/>
  <c r="K43" i="2"/>
  <c r="J45" i="2"/>
  <c r="K45" i="2"/>
  <c r="K41" i="2"/>
  <c r="J41" i="2"/>
  <c r="J21" i="2" l="1"/>
  <c r="J4" i="2"/>
  <c r="J6" i="2"/>
  <c r="J20" i="2"/>
  <c r="J17" i="2"/>
  <c r="J7" i="2"/>
  <c r="J18" i="2"/>
  <c r="J13" i="2"/>
  <c r="J14" i="2"/>
  <c r="J8" i="2"/>
  <c r="J11" i="2"/>
  <c r="J12" i="2"/>
  <c r="J15" i="2"/>
  <c r="J16" i="2"/>
  <c r="J9" i="2"/>
  <c r="J5" i="2"/>
  <c r="J19" i="2"/>
  <c r="J10" i="2"/>
  <c r="K5" i="2" l="1"/>
  <c r="K11" i="2"/>
  <c r="K21" i="2"/>
  <c r="K20" i="2"/>
  <c r="K19" i="2"/>
  <c r="K12" i="2"/>
  <c r="K4" i="2"/>
  <c r="K15" i="2"/>
  <c r="K18" i="2"/>
  <c r="K8" i="2"/>
  <c r="K6" i="2"/>
  <c r="K10" i="2"/>
  <c r="K9" i="2"/>
  <c r="K16" i="2"/>
  <c r="K13" i="2"/>
  <c r="K17" i="2"/>
  <c r="K14" i="2"/>
  <c r="K7" i="2"/>
  <c r="L4" i="2" l="1"/>
  <c r="L11" i="2"/>
  <c r="L20" i="2"/>
  <c r="L21" i="2"/>
  <c r="L19" i="2"/>
  <c r="L16" i="2"/>
  <c r="L15" i="2"/>
  <c r="L7" i="2"/>
  <c r="L18" i="2"/>
  <c r="L6" i="2"/>
  <c r="L17" i="2"/>
  <c r="L10" i="2"/>
  <c r="L8" i="2"/>
  <c r="L5" i="2"/>
  <c r="L13" i="2"/>
  <c r="L14" i="2"/>
  <c r="L12" i="2"/>
  <c r="L9" i="2"/>
  <c r="M21" i="2" l="1"/>
  <c r="M20" i="2"/>
  <c r="M19" i="2"/>
  <c r="M17" i="2"/>
  <c r="M10" i="2"/>
  <c r="M15" i="2"/>
  <c r="M8" i="2"/>
  <c r="M13" i="2"/>
  <c r="M18" i="2"/>
  <c r="M16" i="2"/>
  <c r="M14" i="2"/>
  <c r="M12" i="2"/>
  <c r="M6" i="2"/>
  <c r="M4" i="2"/>
  <c r="M5" i="2"/>
  <c r="M11" i="2"/>
  <c r="M9" i="2"/>
  <c r="M7" i="2"/>
  <c r="N21" i="2" l="1"/>
  <c r="N19" i="2"/>
  <c r="N20" i="2"/>
  <c r="N14" i="2"/>
  <c r="N9" i="2"/>
  <c r="N17" i="2"/>
  <c r="N13" i="2"/>
  <c r="N15" i="2"/>
  <c r="N16" i="2"/>
  <c r="N18" i="2"/>
  <c r="N11" i="2"/>
  <c r="N10" i="2"/>
  <c r="N12" i="2"/>
  <c r="N6" i="2"/>
  <c r="N4" i="2"/>
  <c r="N5" i="2"/>
  <c r="N8" i="2"/>
  <c r="N7" i="2"/>
  <c r="O19" i="2" l="1"/>
  <c r="O21" i="2"/>
  <c r="O20" i="2"/>
  <c r="O8" i="2"/>
  <c r="O13" i="2"/>
  <c r="O15" i="2"/>
  <c r="O14" i="2"/>
  <c r="O16" i="2"/>
  <c r="O17" i="2"/>
  <c r="O18" i="2"/>
  <c r="O11" i="2"/>
  <c r="O7" i="2"/>
  <c r="O5" i="2"/>
  <c r="O4" i="2"/>
  <c r="O9" i="2"/>
  <c r="O12" i="2"/>
  <c r="O6" i="2"/>
  <c r="O10" i="2"/>
  <c r="P19" i="2" l="1"/>
  <c r="P21" i="2"/>
  <c r="P20" i="2"/>
  <c r="P14" i="2"/>
  <c r="P7" i="2"/>
  <c r="P15" i="2"/>
  <c r="P13" i="2"/>
  <c r="P8" i="2"/>
  <c r="P17" i="2"/>
  <c r="P11" i="2"/>
  <c r="P18" i="2"/>
  <c r="P16" i="2"/>
  <c r="P10" i="2"/>
  <c r="P9" i="2"/>
  <c r="P4" i="2"/>
  <c r="P5" i="2"/>
  <c r="P12" i="2"/>
  <c r="P6" i="2"/>
  <c r="Q19" i="2" l="1"/>
  <c r="Q15" i="2"/>
  <c r="Q21" i="2"/>
  <c r="Q14" i="2"/>
  <c r="Q16" i="2"/>
  <c r="Q20" i="2"/>
  <c r="Q13" i="2"/>
  <c r="Q7" i="2"/>
  <c r="Q8" i="2"/>
  <c r="Q11" i="2"/>
  <c r="Q17" i="2"/>
  <c r="Q18" i="2"/>
  <c r="Q4" i="2"/>
  <c r="Q5" i="2"/>
  <c r="Q10" i="2"/>
  <c r="Q12" i="2"/>
  <c r="Q6" i="2"/>
  <c r="Q9" i="2"/>
  <c r="R19" i="2" l="1"/>
  <c r="R15" i="2"/>
  <c r="R14" i="2"/>
  <c r="R16" i="2"/>
  <c r="R21" i="2"/>
  <c r="R13" i="2"/>
  <c r="R20" i="2"/>
  <c r="R7" i="2"/>
  <c r="R17" i="2"/>
  <c r="R18" i="2"/>
  <c r="R6" i="2"/>
  <c r="R10" i="2"/>
  <c r="R8" i="2"/>
  <c r="R12" i="2"/>
  <c r="R9" i="2"/>
  <c r="R11" i="2"/>
  <c r="R4" i="2"/>
  <c r="R5" i="2"/>
  <c r="S15" i="2" l="1"/>
  <c r="S14" i="2"/>
  <c r="S13" i="2"/>
  <c r="S21" i="2"/>
  <c r="S19" i="2"/>
  <c r="S20" i="2"/>
  <c r="S6" i="2"/>
  <c r="S8" i="2"/>
  <c r="S17" i="2"/>
  <c r="S18" i="2"/>
  <c r="S16" i="2"/>
  <c r="S9" i="2"/>
  <c r="S7" i="2"/>
  <c r="S12" i="2"/>
  <c r="S11" i="2"/>
  <c r="S4" i="2"/>
  <c r="S5" i="2"/>
  <c r="S10" i="2"/>
  <c r="T13" i="2" l="1"/>
  <c r="T14" i="2"/>
  <c r="T21" i="2"/>
  <c r="T19" i="2"/>
  <c r="T17" i="2"/>
  <c r="T20" i="2"/>
  <c r="T8" i="2"/>
  <c r="T6" i="2"/>
  <c r="T18" i="2"/>
  <c r="T7" i="2"/>
  <c r="T16" i="2"/>
  <c r="T11" i="2"/>
  <c r="T15" i="2"/>
  <c r="T12" i="2"/>
  <c r="T10" i="2"/>
  <c r="T4" i="2"/>
  <c r="T5" i="2"/>
  <c r="T9" i="2"/>
  <c r="U13" i="2" l="1"/>
  <c r="U19" i="2"/>
  <c r="U21" i="2"/>
  <c r="U6" i="2"/>
  <c r="U17" i="2"/>
  <c r="U7" i="2"/>
  <c r="U20" i="2"/>
  <c r="U18" i="2"/>
  <c r="U11" i="2"/>
  <c r="U16" i="2"/>
  <c r="U15" i="2"/>
  <c r="U14" i="2"/>
  <c r="U12" i="2"/>
  <c r="U9" i="2"/>
  <c r="U8" i="2"/>
  <c r="U10" i="2"/>
  <c r="U4" i="2"/>
  <c r="U5" i="2"/>
  <c r="V6" i="2" s="1"/>
  <c r="V19" i="2" l="1"/>
  <c r="V21" i="2"/>
  <c r="V17" i="2"/>
  <c r="V16" i="2"/>
  <c r="V20" i="2"/>
  <c r="V15" i="2"/>
  <c r="V18" i="2"/>
  <c r="V13" i="2"/>
  <c r="V12" i="2"/>
  <c r="V14" i="2"/>
  <c r="V10" i="2"/>
  <c r="V11" i="2"/>
  <c r="V9" i="2"/>
  <c r="V4" i="2"/>
  <c r="V5" i="2"/>
  <c r="V7" i="2"/>
  <c r="V8" i="2"/>
  <c r="W16" i="2" l="1"/>
  <c r="W19" i="2"/>
  <c r="W21" i="2"/>
  <c r="W15" i="2"/>
  <c r="W20" i="2"/>
  <c r="W17" i="2"/>
  <c r="W12" i="2"/>
  <c r="W18" i="2"/>
  <c r="W8" i="2"/>
  <c r="W13" i="2"/>
  <c r="W10" i="2"/>
  <c r="W14" i="2"/>
  <c r="W9" i="2"/>
  <c r="W11" i="2"/>
  <c r="W6" i="2"/>
  <c r="W5" i="2"/>
  <c r="W4" i="2"/>
  <c r="W7" i="2"/>
  <c r="X15" i="2" l="1"/>
  <c r="X16" i="2"/>
  <c r="X19" i="2"/>
  <c r="X21" i="2"/>
  <c r="X20" i="2"/>
  <c r="X12" i="2"/>
  <c r="X18" i="2"/>
  <c r="X17" i="2"/>
  <c r="X14" i="2"/>
  <c r="X13" i="2"/>
  <c r="X7" i="2"/>
  <c r="X10" i="2"/>
  <c r="X11" i="2"/>
  <c r="X8" i="2"/>
  <c r="X9" i="2"/>
  <c r="X4" i="2"/>
  <c r="X5" i="2"/>
  <c r="X6" i="2"/>
  <c r="Y15" i="2" l="1"/>
  <c r="Y19" i="2"/>
  <c r="Y18" i="2"/>
  <c r="Y21" i="2"/>
  <c r="Y20" i="2"/>
  <c r="Y12" i="2"/>
  <c r="Y16" i="2"/>
  <c r="Y14" i="2"/>
  <c r="Y17" i="2"/>
  <c r="Y8" i="2"/>
  <c r="Y13" i="2"/>
  <c r="Y7" i="2"/>
  <c r="Y10" i="2"/>
  <c r="Y11" i="2"/>
  <c r="Y9" i="2"/>
  <c r="Y6" i="2"/>
  <c r="Y4" i="2"/>
  <c r="Y5" i="2"/>
  <c r="Z18" i="2" l="1"/>
  <c r="Z21" i="2"/>
  <c r="Z20" i="2"/>
  <c r="AA21" i="2" s="1"/>
  <c r="Z15" i="2"/>
  <c r="Z19" i="2"/>
  <c r="Z17" i="2"/>
  <c r="Z14" i="2"/>
  <c r="Z16" i="2"/>
  <c r="Z7" i="2"/>
  <c r="Z12" i="2"/>
  <c r="Z13" i="2"/>
  <c r="Z10" i="2"/>
  <c r="Z11" i="2"/>
  <c r="Z8" i="2"/>
  <c r="Z9" i="2"/>
  <c r="Z6" i="2"/>
  <c r="Z4" i="2"/>
  <c r="Z5" i="2"/>
  <c r="AA20" i="2" l="1"/>
  <c r="AB21" i="2" s="1"/>
  <c r="AA18" i="2"/>
  <c r="AA19" i="2"/>
  <c r="AA17" i="2"/>
  <c r="AA12" i="2"/>
  <c r="AA15" i="2"/>
  <c r="AA14" i="2"/>
  <c r="AA16" i="2"/>
  <c r="AA13" i="2"/>
  <c r="AA7" i="2"/>
  <c r="AA10" i="2"/>
  <c r="AA9" i="2"/>
  <c r="AA8" i="2"/>
  <c r="AA6" i="2"/>
  <c r="AA11" i="2"/>
  <c r="AA5" i="2"/>
  <c r="AA4" i="2"/>
  <c r="AB20" i="2" l="1"/>
  <c r="AC21" i="2" s="1"/>
  <c r="AB14" i="2"/>
  <c r="AB18" i="2"/>
  <c r="AB17" i="2"/>
  <c r="AB19" i="2"/>
  <c r="AB15" i="2"/>
  <c r="AB12" i="2"/>
  <c r="AB16" i="2"/>
  <c r="AB9" i="2"/>
  <c r="AB7" i="2"/>
  <c r="AB13" i="2"/>
  <c r="AB10" i="2"/>
  <c r="AB8" i="2"/>
  <c r="AB6" i="2"/>
  <c r="AB11" i="2"/>
  <c r="AB4" i="2"/>
  <c r="AB5" i="2"/>
  <c r="AC20" i="2" l="1"/>
  <c r="AD21" i="2" s="1"/>
  <c r="AC14" i="2"/>
  <c r="AC18" i="2"/>
  <c r="AC17" i="2"/>
  <c r="AC19" i="2"/>
  <c r="AC9" i="2"/>
  <c r="AC16" i="2"/>
  <c r="AC15" i="2"/>
  <c r="AC13" i="2"/>
  <c r="AC12" i="2"/>
  <c r="AC7" i="2"/>
  <c r="AC10" i="2"/>
  <c r="AC11" i="2"/>
  <c r="AC6" i="2"/>
  <c r="AC8" i="2"/>
  <c r="AC4" i="2"/>
  <c r="AC5" i="2"/>
  <c r="AD20" i="2" l="1"/>
  <c r="AE21" i="2" s="1"/>
  <c r="AD17" i="2"/>
  <c r="AD19" i="2"/>
  <c r="AD16" i="2"/>
  <c r="AD14" i="2"/>
  <c r="AD18" i="2"/>
  <c r="AD13" i="2"/>
  <c r="AD15" i="2"/>
  <c r="AD12" i="2"/>
  <c r="AD9" i="2"/>
  <c r="AD7" i="2"/>
  <c r="AD11" i="2"/>
  <c r="AD6" i="2"/>
  <c r="AD10" i="2"/>
  <c r="AD8" i="2"/>
  <c r="AD4" i="2"/>
  <c r="AD5" i="2"/>
  <c r="AE20" i="2" l="1"/>
  <c r="AF21" i="2" s="1"/>
  <c r="AE19" i="2"/>
  <c r="AE16" i="2"/>
  <c r="AE18" i="2"/>
  <c r="AE13" i="2"/>
  <c r="AE17" i="2"/>
  <c r="AE15" i="2"/>
  <c r="AE11" i="2"/>
  <c r="AE9" i="2"/>
  <c r="AE12" i="2"/>
  <c r="AE14" i="2"/>
  <c r="AE6" i="2"/>
  <c r="AE10" i="2"/>
  <c r="AE7" i="2"/>
  <c r="AE8" i="2"/>
  <c r="AE5" i="2"/>
  <c r="AE4" i="2"/>
  <c r="AF20" i="2" l="1"/>
  <c r="AG21" i="2" s="1"/>
  <c r="AF18" i="2"/>
  <c r="AF19" i="2"/>
  <c r="AF16" i="2"/>
  <c r="AF15" i="2"/>
  <c r="AF17" i="2"/>
  <c r="AG18" i="2" s="1"/>
  <c r="AF13" i="2"/>
  <c r="AF6" i="2"/>
  <c r="AF9" i="2"/>
  <c r="AF12" i="2"/>
  <c r="AF11" i="2"/>
  <c r="AF14" i="2"/>
  <c r="AF8" i="2"/>
  <c r="AF7" i="2"/>
  <c r="AF10" i="2"/>
  <c r="AF5" i="2"/>
  <c r="AF4" i="2"/>
  <c r="AG20" i="2" l="1"/>
  <c r="AG19" i="2"/>
  <c r="AG15" i="2"/>
  <c r="AG12" i="2"/>
  <c r="AG16" i="2"/>
  <c r="AG17" i="2"/>
  <c r="AG8" i="2"/>
  <c r="AG6" i="2"/>
  <c r="AG14" i="2"/>
  <c r="AG11" i="2"/>
  <c r="AG13" i="2"/>
  <c r="AG10" i="2"/>
  <c r="AG9" i="2"/>
  <c r="AG7" i="2"/>
  <c r="AG4" i="2"/>
  <c r="AG5" i="2"/>
  <c r="S3" i="1" a="1"/>
  <c r="S9" i="1" a="1"/>
  <c r="S11" i="1" a="1"/>
  <c r="S4" i="1" a="1"/>
  <c r="S10" i="1" a="1"/>
  <c r="S8" i="1" a="1"/>
  <c r="S7" i="1" a="1"/>
  <c r="S5" i="1" a="1"/>
  <c r="S6" i="1" a="1"/>
  <c r="S10" i="1" l="1"/>
  <c r="U10" i="1" s="1"/>
  <c r="S9" i="1"/>
  <c r="U9" i="1" s="1"/>
  <c r="S8" i="1"/>
  <c r="U8" i="1" s="1"/>
  <c r="S6" i="1"/>
  <c r="U6" i="1" s="1"/>
  <c r="S5" i="1"/>
  <c r="U5" i="1" s="1"/>
  <c r="S7" i="1"/>
  <c r="U7" i="1" s="1"/>
  <c r="S4" i="1"/>
  <c r="U4" i="1" s="1"/>
  <c r="S3" i="1"/>
  <c r="U3" i="1" s="1"/>
  <c r="S11" i="1"/>
  <c r="U11" i="1" s="1"/>
  <c r="U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<sst xmlns="http://schemas.openxmlformats.org/spreadsheetml/2006/main" count="55" uniqueCount="43">
  <si>
    <t xml:space="preserve">Implementation using Explicit Scheme first. </t>
  </si>
  <si>
    <t>Implied Vol Surface</t>
  </si>
  <si>
    <t>Local Volatility Surface</t>
  </si>
  <si>
    <t>Val Date</t>
  </si>
  <si>
    <t>1M</t>
  </si>
  <si>
    <t>3M</t>
  </si>
  <si>
    <t>Forward</t>
  </si>
  <si>
    <t>In %</t>
  </si>
  <si>
    <t>Spot</t>
  </si>
  <si>
    <t>Maturity Date</t>
  </si>
  <si>
    <t>Z.Rate</t>
  </si>
  <si>
    <t>O/N</t>
  </si>
  <si>
    <t>T/N</t>
  </si>
  <si>
    <t>1W</t>
  </si>
  <si>
    <t>2M</t>
  </si>
  <si>
    <t>6M</t>
  </si>
  <si>
    <t>9M</t>
  </si>
  <si>
    <t>1Y</t>
  </si>
  <si>
    <t>St.Dev Unit</t>
  </si>
  <si>
    <t>K</t>
  </si>
  <si>
    <t>Ln(K)</t>
  </si>
  <si>
    <t xml:space="preserve">div </t>
  </si>
  <si>
    <t>r</t>
  </si>
  <si>
    <t>x</t>
  </si>
  <si>
    <t>IV GRID in terms of Forward Call Price</t>
  </si>
  <si>
    <t>T</t>
  </si>
  <si>
    <t>A</t>
  </si>
  <si>
    <t>B</t>
  </si>
  <si>
    <t>C</t>
  </si>
  <si>
    <t>strike</t>
  </si>
  <si>
    <t>Ln(x)</t>
  </si>
  <si>
    <t>dt</t>
  </si>
  <si>
    <t>dx</t>
  </si>
  <si>
    <t>dt/dx^2</t>
  </si>
  <si>
    <t>sigma</t>
  </si>
  <si>
    <t>Intermediate Calculation</t>
  </si>
  <si>
    <t>PDE Price</t>
  </si>
  <si>
    <t>exp(x)</t>
  </si>
  <si>
    <t>BS76 Price</t>
  </si>
  <si>
    <t>Diff</t>
  </si>
  <si>
    <t>Minimization Func</t>
  </si>
  <si>
    <t>LV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</si>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</sst>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00000"/>
  </numFmts>
  <fonts count="19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libri Light"/>
      <family val="2"/>
      <scheme val="major"/>
    </font>
  </fonts>
  <fills count="4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8" borderId="0" applyNumberFormat="0" applyBorder="0" applyAlignment="0" applyProtection="0"/>
    <xf numFmtId="0" fontId="7" fillId="9" borderId="0" applyNumberFormat="0" applyBorder="0" applyAlignment="0" applyProtection="0"/>
    <xf numFmtId="0" fontId="8" fillId="11" borderId="4" applyNumberFormat="0" applyAlignment="0" applyProtection="0"/>
    <xf numFmtId="0" fontId="9" fillId="12" borderId="5" applyNumberFormat="0" applyAlignment="0" applyProtection="0"/>
    <xf numFmtId="0" fontId="10" fillId="12" borderId="4" applyNumberFormat="0" applyAlignment="0" applyProtection="0"/>
    <xf numFmtId="0" fontId="11" fillId="0" borderId="6" applyNumberFormat="0" applyFill="0" applyAlignment="0" applyProtection="0"/>
    <xf numFmtId="0" fontId="12" fillId="13" borderId="7" applyNumberFormat="0" applyAlignment="0" applyProtection="0"/>
    <xf numFmtId="0" fontId="13" fillId="0" borderId="0" applyNumberFormat="0" applyFill="0" applyBorder="0" applyAlignment="0" applyProtection="0"/>
    <xf numFmtId="0" fontId="2" fillId="14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6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6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6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6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6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7" fillId="10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0" fontId="0" fillId="3" borderId="0" xfId="0" applyFill="1" applyAlignment="1">
      <alignment horizontal="center"/>
    </xf>
    <xf numFmtId="4" fontId="0" fillId="0" borderId="0" xfId="0" applyNumberFormat="1"/>
    <xf numFmtId="4" fontId="0" fillId="4" borderId="0" xfId="0" applyNumberForma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9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0" borderId="0" xfId="0"/>
    <xf numFmtId="0" fontId="0" fillId="0" borderId="0" xfId="0"/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4" xr:uid="{6190C8E4-DE85-4122-B86B-2DE7F600D2D7}"/>
    <cellStyle name="60% - Accent2 2" xfId="35" xr:uid="{6EF5EE7D-F81B-4DC8-AE11-08CF4EF6975D}"/>
    <cellStyle name="60% - Accent3 2" xfId="36" xr:uid="{EDFE53B9-E78F-4F86-8878-5CF5D23492A0}"/>
    <cellStyle name="60% - Accent4 2" xfId="37" xr:uid="{DFF0C2CE-2B21-4121-999F-DBBFB177B3DC}"/>
    <cellStyle name="60% - Accent5 2" xfId="38" xr:uid="{D0E49679-02EB-449C-86B0-7B3B29C06E19}"/>
    <cellStyle name="60% - Accent6 2" xfId="39" xr:uid="{410D60DA-A480-40AC-952E-178C6AFFD41E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40" xr:uid="{EF3004CF-E955-4289-99F5-13B129E5DEA8}"/>
    <cellStyle name="Normal" xfId="0" builtinId="0"/>
    <cellStyle name="Note" xfId="13" builtinId="10" customBuiltin="1"/>
    <cellStyle name="Output" xfId="8" builtinId="21" customBuiltin="1"/>
    <cellStyle name="Title 2" xfId="41" xr:uid="{77D75246-8EA2-41DA-B522-83324A7CE5C2}"/>
    <cellStyle name="Total" xfId="15" builtinId="25" customBuiltin="1"/>
    <cellStyle name="Warning Text" xfId="1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Details!$P$16</c:f>
              <c:strCache>
                <c:ptCount val="1"/>
                <c:pt idx="0">
                  <c:v>IV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Details!$O$17:$O$23</c:f>
              <c:numCache>
                <c:formatCode>#,##0.00</c:formatCode>
                <c:ptCount val="7"/>
                <c:pt idx="0">
                  <c:v>38.767783388856373</c:v>
                </c:pt>
                <c:pt idx="1">
                  <c:v>42.225415903628665</c:v>
                </c:pt>
                <c:pt idx="2">
                  <c:v>45.991428768324369</c:v>
                </c:pt>
                <c:pt idx="3">
                  <c:v>50.093325900671182</c:v>
                </c:pt>
                <c:pt idx="4">
                  <c:v>54.56106424593424</c:v>
                </c:pt>
                <c:pt idx="5">
                  <c:v>59.42727255826064</c:v>
                </c:pt>
                <c:pt idx="6">
                  <c:v>64.727489694759115</c:v>
                </c:pt>
              </c:numCache>
            </c:numRef>
          </c:xVal>
          <c:yVal>
            <c:numRef>
              <c:f>Details!$P$17:$P$23</c:f>
              <c:numCache>
                <c:formatCode>General</c:formatCode>
                <c:ptCount val="7"/>
                <c:pt idx="0">
                  <c:v>60.22</c:v>
                </c:pt>
                <c:pt idx="1">
                  <c:v>59.56</c:v>
                </c:pt>
                <c:pt idx="2">
                  <c:v>59.04</c:v>
                </c:pt>
                <c:pt idx="3">
                  <c:v>58.63</c:v>
                </c:pt>
                <c:pt idx="4">
                  <c:v>58.36</c:v>
                </c:pt>
                <c:pt idx="5">
                  <c:v>58.22</c:v>
                </c:pt>
                <c:pt idx="6">
                  <c:v>58.19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C-4498-9B73-AF3AC838751B}"/>
            </c:ext>
          </c:extLst>
        </c:ser>
        <c:ser>
          <c:idx val="1"/>
          <c:order val="1"/>
          <c:tx>
            <c:strRef>
              <c:f>Details!$Q$16</c:f>
              <c:strCache>
                <c:ptCount val="1"/>
                <c:pt idx="0">
                  <c:v>LV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Details!$O$17:$O$23</c:f>
              <c:numCache>
                <c:formatCode>#,##0.00</c:formatCode>
                <c:ptCount val="7"/>
                <c:pt idx="0">
                  <c:v>38.767783388856373</c:v>
                </c:pt>
                <c:pt idx="1">
                  <c:v>42.225415903628665</c:v>
                </c:pt>
                <c:pt idx="2">
                  <c:v>45.991428768324369</c:v>
                </c:pt>
                <c:pt idx="3">
                  <c:v>50.093325900671182</c:v>
                </c:pt>
                <c:pt idx="4">
                  <c:v>54.56106424593424</c:v>
                </c:pt>
                <c:pt idx="5">
                  <c:v>59.42727255826064</c:v>
                </c:pt>
                <c:pt idx="6">
                  <c:v>64.727489694759115</c:v>
                </c:pt>
              </c:numCache>
            </c:numRef>
          </c:xVal>
          <c:yVal>
            <c:numRef>
              <c:f>Details!$Q$17:$Q$23</c:f>
              <c:numCache>
                <c:formatCode>General</c:formatCode>
                <c:ptCount val="7"/>
                <c:pt idx="0">
                  <c:v>57.133595171126181</c:v>
                </c:pt>
                <c:pt idx="1">
                  <c:v>39.922693758583613</c:v>
                </c:pt>
                <c:pt idx="2">
                  <c:v>61.274332173656127</c:v>
                </c:pt>
                <c:pt idx="3">
                  <c:v>71.036605548237873</c:v>
                </c:pt>
                <c:pt idx="4">
                  <c:v>87.188782845729918</c:v>
                </c:pt>
                <c:pt idx="5">
                  <c:v>91.611918556875722</c:v>
                </c:pt>
                <c:pt idx="6">
                  <c:v>103.36791632235764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7C-4498-9B73-AF3AC8387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63247"/>
        <c:axId val="396464495"/>
      </c:scatterChart>
      <c:valAx>
        <c:axId val="3964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64495"/>
        <c:crosses val="autoZero"/>
        <c:crossBetween val="midCat"/>
      </c:valAx>
      <c:valAx>
        <c:axId val="39646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6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13</xdr:row>
      <xdr:rowOff>100013</xdr:rowOff>
    </xdr:from>
    <xdr:to>
      <xdr:col>12</xdr:col>
      <xdr:colOff>647699</xdr:colOff>
      <xdr:row>25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9371A5-F954-43C0-BD34-A8D5C5B6D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6D00E-6F5E-4B5D-86CD-6CD5629DB8F6}">
  <sheetPr codeName="Sheet1"/>
  <dimension ref="A1"/>
  <sheetViews>
    <sheetView workbookViewId="0">
      <selection activeCell="E17" sqref="E17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403D3-E42B-4FF9-A908-3524D3BD0289}">
  <sheetPr codeName="Sheet2"/>
  <dimension ref="A1:U26"/>
  <sheetViews>
    <sheetView topLeftCell="C1" workbookViewId="0">
      <selection activeCell="E28" sqref="E28"/>
    </sheetView>
  </sheetViews>
  <sheetFormatPr defaultRowHeight="15" x14ac:dyDescent="0.25"/>
  <cols>
    <col min="1" max="1" width="10.5703125" bestFit="1" customWidth="1"/>
    <col min="2" max="2" width="9.7109375" bestFit="1" customWidth="1"/>
    <col min="5" max="5" width="17.42578125" customWidth="1"/>
    <col min="6" max="6" width="16.85546875" customWidth="1"/>
    <col min="9" max="9" width="11.85546875" customWidth="1"/>
    <col min="10" max="10" width="12.42578125" customWidth="1"/>
    <col min="11" max="11" width="11.140625" customWidth="1"/>
    <col min="13" max="15" width="10.7109375" bestFit="1" customWidth="1"/>
    <col min="16" max="16" width="19" customWidth="1"/>
    <col min="17" max="17" width="18.42578125" customWidth="1"/>
    <col min="18" max="18" width="10.7109375" bestFit="1" customWidth="1"/>
    <col min="19" max="19" width="17.5703125" bestFit="1" customWidth="1"/>
    <col min="20" max="21" width="12" bestFit="1" customWidth="1"/>
  </cols>
  <sheetData>
    <row r="1" spans="1:21" x14ac:dyDescent="0.25">
      <c r="A1" t="s">
        <v>3</v>
      </c>
      <c r="B1" s="2">
        <v>44896</v>
      </c>
      <c r="K1" s="1" t="s">
        <v>1</v>
      </c>
      <c r="M1" s="1" t="s">
        <v>2</v>
      </c>
      <c r="O1" s="18" t="s">
        <v>4</v>
      </c>
      <c r="P1" s="18"/>
      <c r="Q1" s="18"/>
    </row>
    <row r="2" spans="1:21" x14ac:dyDescent="0.25">
      <c r="A2" t="s">
        <v>8</v>
      </c>
      <c r="B2">
        <v>50</v>
      </c>
      <c r="E2" s="6" t="s">
        <v>9</v>
      </c>
      <c r="F2" s="6" t="s">
        <v>10</v>
      </c>
      <c r="H2" s="3" t="s">
        <v>19</v>
      </c>
      <c r="I2" t="s">
        <v>20</v>
      </c>
      <c r="J2" s="3" t="s">
        <v>7</v>
      </c>
      <c r="K2" t="s">
        <v>4</v>
      </c>
      <c r="L2" t="s">
        <v>5</v>
      </c>
      <c r="N2" t="s">
        <v>18</v>
      </c>
      <c r="O2" s="4" t="s">
        <v>6</v>
      </c>
      <c r="P2" t="s">
        <v>30</v>
      </c>
      <c r="Q2" s="5">
        <v>44927</v>
      </c>
      <c r="S2" t="s">
        <v>36</v>
      </c>
      <c r="T2" t="s">
        <v>38</v>
      </c>
      <c r="U2" t="s">
        <v>39</v>
      </c>
    </row>
    <row r="3" spans="1:21" x14ac:dyDescent="0.25">
      <c r="A3" t="s">
        <v>22</v>
      </c>
      <c r="D3" t="s">
        <v>11</v>
      </c>
      <c r="E3" s="2">
        <v>44897</v>
      </c>
      <c r="F3" s="19">
        <v>1.97994629782937</v>
      </c>
      <c r="H3" s="3">
        <f t="shared" ref="H3:H11" si="0">$B$2*(1+J3%)</f>
        <v>45</v>
      </c>
      <c r="I3">
        <f>LN(H3)</f>
        <v>3.8066624897703196</v>
      </c>
      <c r="J3" s="3">
        <v>-10</v>
      </c>
      <c r="K3">
        <v>60.98</v>
      </c>
      <c r="L3">
        <v>56.07</v>
      </c>
      <c r="N3" s="3">
        <v>-3</v>
      </c>
      <c r="O3" s="7">
        <f>$O$7*EXP(N3*$K$7%*SQRT(YEARFRAC($B$1,$Q$2,3)))</f>
        <v>30.002819774143816</v>
      </c>
      <c r="P3">
        <f>LN(O3)</f>
        <v>3.4012913697166005</v>
      </c>
      <c r="Q3" s="15">
        <v>57.133595171126181</v>
      </c>
      <c r="S3" s="17" cm="1">
        <f t="array" ref="S3">interp_lin_range('PDE Grid'!$G$3:$G$22,'PDE Grid'!$AG$3:$AG$22,Details!$O3,1)</f>
        <v>19.99718022585618</v>
      </c>
      <c r="T3" cm="1">
        <f t="array" ref="T3">Black76_Forward(1,O3,$O$7,K3,$E$15,$E$15,EXP(interp_lin_range($E$3:$E$11,$F$3:$F$11,$Q$2,1)%*YEARFRAC(B1,Q2,3)))</f>
        <v>20.094430462737307</v>
      </c>
      <c r="U3">
        <f>(S3-T3)^2</f>
        <v>9.4576085734353124E-3</v>
      </c>
    </row>
    <row r="4" spans="1:21" x14ac:dyDescent="0.25">
      <c r="A4" t="s">
        <v>21</v>
      </c>
      <c r="D4" t="s">
        <v>12</v>
      </c>
      <c r="E4" s="2">
        <v>44900</v>
      </c>
      <c r="F4" s="19">
        <v>1.97986575332015</v>
      </c>
      <c r="H4" s="3">
        <f t="shared" si="0"/>
        <v>46.25</v>
      </c>
      <c r="I4">
        <f t="shared" ref="I4:I11" si="1">LN(H4)</f>
        <v>3.8340614639584341</v>
      </c>
      <c r="J4" s="3">
        <v>-7.5000000000000098</v>
      </c>
      <c r="K4">
        <v>60.22</v>
      </c>
      <c r="L4">
        <v>55.8</v>
      </c>
      <c r="N4" s="3">
        <v>-1.5</v>
      </c>
      <c r="O4" s="7">
        <f>$O$7*EXP(N4*$K$7%*SQRT(YEARFRAC($B$1,$Q$2,3)))</f>
        <v>38.767783388856373</v>
      </c>
      <c r="P4">
        <f t="shared" ref="P4:P11" si="2">LN(O4)</f>
        <v>3.657589576688987</v>
      </c>
      <c r="Q4" s="15">
        <v>39.922693758583613</v>
      </c>
      <c r="S4" s="17" cm="1">
        <f t="array" ref="S4">interp_lin_range('PDE Grid'!$G$3:$G$22,'PDE Grid'!$AG$3:$AG$22,Details!$O4,1)</f>
        <v>11.57278013491837</v>
      </c>
      <c r="T4" cm="1">
        <f t="array" ref="T4">Black76_Forward(1,O4,$O$7,K4,$E$15,$E$15,EXP(interp_lin_range($E$3:$E$11,$F$3:$F$11,$Q$2,1)%*YEARFRAC(B2,Q3,3)))</f>
        <v>11.572780238133184</v>
      </c>
      <c r="U4">
        <f t="shared" ref="U4:U11" si="3">(S4-T4)^2</f>
        <v>1.0653297926708751E-14</v>
      </c>
    </row>
    <row r="5" spans="1:21" x14ac:dyDescent="0.25">
      <c r="A5" t="s">
        <v>29</v>
      </c>
      <c r="B5">
        <v>50</v>
      </c>
      <c r="D5" t="s">
        <v>13</v>
      </c>
      <c r="E5" s="2">
        <v>44903</v>
      </c>
      <c r="F5" s="19">
        <v>2.0495971261377401</v>
      </c>
      <c r="H5" s="3">
        <f t="shared" si="0"/>
        <v>47.5</v>
      </c>
      <c r="I5">
        <f t="shared" si="1"/>
        <v>3.8607297110405954</v>
      </c>
      <c r="J5" s="3">
        <v>-4.9999999999999902</v>
      </c>
      <c r="K5">
        <v>59.56</v>
      </c>
      <c r="L5">
        <v>55.58</v>
      </c>
      <c r="N5" s="3">
        <f>N4+0.5</f>
        <v>-1</v>
      </c>
      <c r="O5" s="7">
        <f>$O$7*EXP(N5*$K$7%*SQRT(YEARFRAC($B$1,$Q$2,3)))</f>
        <v>42.225415903628665</v>
      </c>
      <c r="P5">
        <f t="shared" si="2"/>
        <v>3.743022312346449</v>
      </c>
      <c r="Q5" s="15">
        <v>61.274332173656127</v>
      </c>
      <c r="S5" s="17" cm="1">
        <f t="array" ref="S5">interp_lin_range('PDE Grid'!$G$3:$G$22,'PDE Grid'!$AG$3:$AG$22,Details!$O5,1)</f>
        <v>8.5514057127139989</v>
      </c>
      <c r="T5" cm="1">
        <f t="array" ref="T5">Black76_Forward(1,O5,$O$7,K5,$E$15,$E$15,EXP(interp_lin_range($E$3:$E$11,$F$3:$F$11,$Q$2,1)%*YEARFRAC(B3,Q4,3)))</f>
        <v>8.5514032176949542</v>
      </c>
      <c r="U5">
        <f t="shared" si="3"/>
        <v>6.2251200334232226E-12</v>
      </c>
    </row>
    <row r="6" spans="1:21" x14ac:dyDescent="0.25">
      <c r="D6" t="s">
        <v>4</v>
      </c>
      <c r="E6" s="2">
        <v>44929</v>
      </c>
      <c r="F6" s="19">
        <v>2.20779505579603</v>
      </c>
      <c r="H6" s="3">
        <f t="shared" si="0"/>
        <v>48.749999999999993</v>
      </c>
      <c r="I6">
        <f t="shared" si="1"/>
        <v>3.886705197443856</v>
      </c>
      <c r="J6" s="3">
        <v>-2.5000000000000102</v>
      </c>
      <c r="K6">
        <v>59.04</v>
      </c>
      <c r="L6">
        <v>55.39</v>
      </c>
      <c r="N6" s="3">
        <f t="shared" ref="N6:N10" si="4">N5+0.5</f>
        <v>-0.5</v>
      </c>
      <c r="O6" s="7">
        <f>$O$7*EXP(N6*$K$7%*SQRT(YEARFRAC($B$1,$Q$2,3)))</f>
        <v>45.991428768324369</v>
      </c>
      <c r="P6">
        <f t="shared" si="2"/>
        <v>3.828455048003911</v>
      </c>
      <c r="Q6" s="15">
        <v>71.036605548237873</v>
      </c>
      <c r="S6" s="17" cm="1">
        <f t="array" ref="S6">interp_lin_range('PDE Grid'!$G$3:$G$22,'PDE Grid'!$AG$3:$AG$22,Details!$O6,1)</f>
        <v>5.7412071775568307</v>
      </c>
      <c r="T6" cm="1">
        <f t="array" ref="T6">Black76_Forward(1,O6,$O$7,K6,$E$15,$E$15,EXP(interp_lin_range($E$3:$E$11,$F$3:$F$11,$Q$2,1)%*YEARFRAC(B4,Q5,3)))</f>
        <v>5.7412054903938099</v>
      </c>
      <c r="U6">
        <f t="shared" si="3"/>
        <v>2.846519058913702E-12</v>
      </c>
    </row>
    <row r="7" spans="1:21" x14ac:dyDescent="0.25">
      <c r="D7" t="s">
        <v>14</v>
      </c>
      <c r="E7" s="2">
        <v>44959</v>
      </c>
      <c r="F7" s="19">
        <v>2.35520637214952</v>
      </c>
      <c r="H7" s="3">
        <f t="shared" si="0"/>
        <v>50</v>
      </c>
      <c r="I7">
        <f t="shared" si="1"/>
        <v>3.912023005428146</v>
      </c>
      <c r="J7" s="3">
        <v>0</v>
      </c>
      <c r="K7">
        <v>58.63</v>
      </c>
      <c r="L7">
        <v>55.25</v>
      </c>
      <c r="N7" s="3">
        <f t="shared" si="4"/>
        <v>0</v>
      </c>
      <c r="O7" s="8" cm="1">
        <f t="array" ref="O7">B2*EXP(interp_lin_range($E$3:$E$11,F3:$F$11,Q2,1)%*YEARFRAC(B1,Q2,3))</f>
        <v>50.093325900671182</v>
      </c>
      <c r="P7">
        <f t="shared" si="2"/>
        <v>3.9138877836613735</v>
      </c>
      <c r="Q7" s="15">
        <v>87.188782845729918</v>
      </c>
      <c r="S7" s="17" cm="1">
        <f t="array" ref="S7">interp_lin_range('PDE Grid'!$G$3:$G$22,'PDE Grid'!$AG$3:$AG$22,Details!$O7,1)</f>
        <v>3.4104827214872144</v>
      </c>
      <c r="T7" cm="1">
        <f t="array" ref="T7">Black76_Forward(1,O7,$O$7,K7,$E$15,$E$15,EXP(interp_lin_range($E$3:$E$11,$F$3:$F$11,$Q$2,1)%*YEARFRAC(B5,Q6,3)))</f>
        <v>3.4104854229901704</v>
      </c>
      <c r="U7">
        <f t="shared" si="3"/>
        <v>7.2981182212984607E-12</v>
      </c>
    </row>
    <row r="8" spans="1:21" x14ac:dyDescent="0.25">
      <c r="D8" t="s">
        <v>5</v>
      </c>
      <c r="E8" s="2">
        <v>44986</v>
      </c>
      <c r="F8" s="19">
        <v>2.3730436952339802</v>
      </c>
      <c r="H8" s="3">
        <f t="shared" si="0"/>
        <v>51.249999999999993</v>
      </c>
      <c r="I8">
        <f t="shared" si="1"/>
        <v>3.9367156180185172</v>
      </c>
      <c r="J8" s="3">
        <v>2.4999999999999898</v>
      </c>
      <c r="K8">
        <v>58.36</v>
      </c>
      <c r="L8">
        <v>55.15</v>
      </c>
      <c r="N8" s="3">
        <f t="shared" si="4"/>
        <v>0.5</v>
      </c>
      <c r="O8" s="7">
        <f>$O$7*EXP(N8*$K$7%*SQRT(YEARFRAC($B$1,$Q$2,3)))</f>
        <v>54.56106424593424</v>
      </c>
      <c r="P8">
        <f t="shared" si="2"/>
        <v>3.9993205193188355</v>
      </c>
      <c r="Q8" s="15">
        <v>91.611918556875722</v>
      </c>
      <c r="S8" s="17" cm="1">
        <f t="array" ref="S8">interp_lin_range('PDE Grid'!$G$3:$G$22,'PDE Grid'!$AG$3:$AG$22,Details!$O8,1)</f>
        <v>1.7491631470071316</v>
      </c>
      <c r="T8" cm="1">
        <f t="array" ref="T8">Black76_Forward(1,O8,$O$7,K8,$E$15,$E$15,EXP(interp_lin_range($E$3:$E$11,$F$3:$F$11,$Q$2,1)%*YEARFRAC(B6,Q7,3)))</f>
        <v>1.7491627530486067</v>
      </c>
      <c r="U8">
        <f t="shared" si="3"/>
        <v>1.5520331935204373E-13</v>
      </c>
    </row>
    <row r="9" spans="1:21" x14ac:dyDescent="0.25">
      <c r="D9" t="s">
        <v>15</v>
      </c>
      <c r="E9" s="2">
        <v>45078</v>
      </c>
      <c r="F9" s="19">
        <v>2.6620900917825301</v>
      </c>
      <c r="H9" s="3">
        <f t="shared" si="0"/>
        <v>52.5</v>
      </c>
      <c r="I9">
        <f t="shared" si="1"/>
        <v>3.9608131695975781</v>
      </c>
      <c r="J9" s="3">
        <v>5</v>
      </c>
      <c r="K9">
        <v>58.22</v>
      </c>
      <c r="L9">
        <v>55.08</v>
      </c>
      <c r="N9" s="3">
        <f t="shared" si="4"/>
        <v>1</v>
      </c>
      <c r="O9" s="7">
        <f>$O$7*EXP(N9*$K$7%*SQRT(YEARFRAC($B$1,$Q$2,3)))</f>
        <v>59.42727255826064</v>
      </c>
      <c r="P9">
        <f t="shared" si="2"/>
        <v>4.0847532549762979</v>
      </c>
      <c r="Q9" s="15">
        <v>103.36791632235764</v>
      </c>
      <c r="S9" s="17" cm="1">
        <f t="array" ref="S9">interp_lin_range('PDE Grid'!$G$3:$G$22,'PDE Grid'!$AG$3:$AG$22,Details!$O9,1)</f>
        <v>0.75925834040931228</v>
      </c>
      <c r="T9" cm="1">
        <f t="array" ref="T9">Black76_Forward(1,O9,$O$7,K9,$E$15,$E$15,EXP(interp_lin_range($E$3:$E$11,$F$3:$F$11,$Q$2,1)%*YEARFRAC(B7,Q8,3)))</f>
        <v>0.75925755051708244</v>
      </c>
      <c r="U9">
        <f t="shared" si="3"/>
        <v>6.2392973477203467E-13</v>
      </c>
    </row>
    <row r="10" spans="1:21" x14ac:dyDescent="0.25">
      <c r="D10" t="s">
        <v>16</v>
      </c>
      <c r="E10" s="2">
        <v>45170</v>
      </c>
      <c r="F10" s="19">
        <v>2.8868517681360299</v>
      </c>
      <c r="H10" s="3">
        <f t="shared" si="0"/>
        <v>53.75</v>
      </c>
      <c r="I10">
        <f t="shared" si="1"/>
        <v>3.9843436670077721</v>
      </c>
      <c r="J10" s="3">
        <v>7.5</v>
      </c>
      <c r="K10">
        <v>58.19</v>
      </c>
      <c r="L10">
        <v>55.04</v>
      </c>
      <c r="N10" s="3">
        <f t="shared" si="4"/>
        <v>1.5</v>
      </c>
      <c r="O10" s="7">
        <f>$O$7*EXP(N10*$K$7%*SQRT(YEARFRAC($B$1,$Q$2,3)))</f>
        <v>64.727489694759115</v>
      </c>
      <c r="P10">
        <f t="shared" si="2"/>
        <v>4.1701859906337599</v>
      </c>
      <c r="Q10" s="15">
        <v>124.04654824409089</v>
      </c>
      <c r="S10" s="17" cm="1">
        <f t="array" ref="S10">interp_lin_range('PDE Grid'!$G$3:$G$22,'PDE Grid'!$AG$3:$AG$22,Details!$O10,1)</f>
        <v>0.27504362760638001</v>
      </c>
      <c r="T10" cm="1">
        <f t="array" ref="T10">Black76_Forward(1,O10,$O$7,K10,$E$15,$E$15,EXP(interp_lin_range($E$3:$E$11,$F$3:$F$11,$Q$2,1)%*YEARFRAC(B8,Q9,3)))</f>
        <v>0.27504475934909234</v>
      </c>
      <c r="U10">
        <f t="shared" si="3"/>
        <v>1.2808415668976596E-12</v>
      </c>
    </row>
    <row r="11" spans="1:21" x14ac:dyDescent="0.25">
      <c r="D11" t="s">
        <v>17</v>
      </c>
      <c r="E11" s="2">
        <v>45261</v>
      </c>
      <c r="F11">
        <v>3.0671426262400101</v>
      </c>
      <c r="H11" s="3">
        <f t="shared" si="0"/>
        <v>55.000000000000007</v>
      </c>
      <c r="I11">
        <f t="shared" si="1"/>
        <v>4.0073331852324712</v>
      </c>
      <c r="J11" s="3">
        <v>10</v>
      </c>
      <c r="K11">
        <v>58.26</v>
      </c>
      <c r="L11">
        <v>55.03</v>
      </c>
      <c r="N11" s="3">
        <v>3</v>
      </c>
      <c r="O11" s="7">
        <f>$O$7*EXP(N11*$K$7%*SQRT(YEARFRAC($B$1,$Q$2,3)))</f>
        <v>83.636848758908442</v>
      </c>
      <c r="P11">
        <f t="shared" si="2"/>
        <v>4.4264841976061469</v>
      </c>
      <c r="Q11" s="15">
        <v>61.173357514946098</v>
      </c>
      <c r="S11" s="17" cm="1">
        <f t="array" ref="S11">interp_lin_range('PDE Grid'!$G$3:$G$22,'PDE Grid'!$AG$3:$AG$22,Details!$O11,1)</f>
        <v>7.9146758591441824E-18</v>
      </c>
      <c r="T11" cm="1">
        <f t="array" ref="T11">Black76_Forward(1,O11,$O$7,K11,$E$15,$E$15,EXP(interp_lin_range($E$3:$E$11,$F$3:$F$11,$Q$2,1)%*YEARFRAC(B9,Q10,3)))</f>
        <v>3.9136194237985311E-3</v>
      </c>
      <c r="U11">
        <f t="shared" si="3"/>
        <v>1.5316416994333086E-5</v>
      </c>
    </row>
    <row r="13" spans="1:21" x14ac:dyDescent="0.25">
      <c r="S13" t="s">
        <v>40</v>
      </c>
      <c r="U13">
        <f>AVERAGE(U4:U10)</f>
        <v>2.6343407475119759E-12</v>
      </c>
    </row>
    <row r="15" spans="1:21" x14ac:dyDescent="0.25">
      <c r="E15">
        <f>YEARFRAC(B1,E17,3)</f>
        <v>8.4931506849315067E-2</v>
      </c>
      <c r="O15" s="14" t="s">
        <v>4</v>
      </c>
      <c r="P15" s="14"/>
      <c r="Q15" s="14"/>
    </row>
    <row r="16" spans="1:21" x14ac:dyDescent="0.25">
      <c r="D16" t="s">
        <v>24</v>
      </c>
      <c r="O16" s="3" t="s">
        <v>19</v>
      </c>
      <c r="P16" s="16" t="s">
        <v>42</v>
      </c>
      <c r="Q16" s="16" t="s">
        <v>41</v>
      </c>
    </row>
    <row r="17" spans="4:17" x14ac:dyDescent="0.25">
      <c r="D17" s="3"/>
      <c r="E17" s="9">
        <f>Q2</f>
        <v>44927</v>
      </c>
      <c r="F17" s="9"/>
      <c r="O17" s="7">
        <f>O4</f>
        <v>38.767783388856373</v>
      </c>
      <c r="P17">
        <f>K4</f>
        <v>60.22</v>
      </c>
      <c r="Q17">
        <f>Q3</f>
        <v>57.133595171126181</v>
      </c>
    </row>
    <row r="18" spans="4:17" x14ac:dyDescent="0.25">
      <c r="D18" s="3"/>
      <c r="E18" s="10"/>
      <c r="F18" s="10"/>
      <c r="O18" s="7">
        <f t="shared" ref="O18:O23" si="5">O5</f>
        <v>42.225415903628665</v>
      </c>
      <c r="P18" s="20">
        <f t="shared" ref="P18:P23" si="6">K5</f>
        <v>59.56</v>
      </c>
      <c r="Q18" s="20">
        <f t="shared" ref="Q18:Q23" si="7">Q4</f>
        <v>39.922693758583613</v>
      </c>
    </row>
    <row r="19" spans="4:17" x14ac:dyDescent="0.25">
      <c r="D19" s="3"/>
      <c r="E19" s="10"/>
      <c r="F19" s="10"/>
      <c r="O19" s="7">
        <f t="shared" si="5"/>
        <v>45.991428768324369</v>
      </c>
      <c r="P19" s="20">
        <f t="shared" si="6"/>
        <v>59.04</v>
      </c>
      <c r="Q19" s="20">
        <f t="shared" si="7"/>
        <v>61.274332173656127</v>
      </c>
    </row>
    <row r="20" spans="4:17" x14ac:dyDescent="0.25">
      <c r="D20" s="3"/>
      <c r="E20" s="10"/>
      <c r="F20" s="10"/>
      <c r="O20" s="7">
        <f t="shared" si="5"/>
        <v>50.093325900671182</v>
      </c>
      <c r="P20" s="20">
        <f t="shared" si="6"/>
        <v>58.63</v>
      </c>
      <c r="Q20" s="20">
        <f t="shared" si="7"/>
        <v>71.036605548237873</v>
      </c>
    </row>
    <row r="21" spans="4:17" x14ac:dyDescent="0.25">
      <c r="D21" s="3"/>
      <c r="E21" s="10"/>
      <c r="F21" s="10"/>
      <c r="O21" s="7">
        <f t="shared" si="5"/>
        <v>54.56106424593424</v>
      </c>
      <c r="P21" s="20">
        <f t="shared" si="6"/>
        <v>58.36</v>
      </c>
      <c r="Q21" s="20">
        <f t="shared" si="7"/>
        <v>87.188782845729918</v>
      </c>
    </row>
    <row r="22" spans="4:17" x14ac:dyDescent="0.25">
      <c r="D22" s="3"/>
      <c r="E22" s="10"/>
      <c r="F22" s="10"/>
      <c r="O22" s="7">
        <f t="shared" si="5"/>
        <v>59.42727255826064</v>
      </c>
      <c r="P22" s="20">
        <f t="shared" si="6"/>
        <v>58.22</v>
      </c>
      <c r="Q22" s="20">
        <f t="shared" si="7"/>
        <v>91.611918556875722</v>
      </c>
    </row>
    <row r="23" spans="4:17" x14ac:dyDescent="0.25">
      <c r="D23" s="3"/>
      <c r="E23" s="10"/>
      <c r="F23" s="10"/>
      <c r="O23" s="7">
        <f t="shared" si="5"/>
        <v>64.727489694759115</v>
      </c>
      <c r="P23" s="20">
        <f t="shared" si="6"/>
        <v>58.19</v>
      </c>
      <c r="Q23" s="20">
        <f t="shared" si="7"/>
        <v>103.36791632235764</v>
      </c>
    </row>
    <row r="24" spans="4:17" x14ac:dyDescent="0.25">
      <c r="D24" s="3"/>
      <c r="E24" s="10"/>
      <c r="F24" s="10"/>
    </row>
    <row r="25" spans="4:17" x14ac:dyDescent="0.25">
      <c r="D25" s="3"/>
      <c r="E25" s="10"/>
      <c r="F25" s="10"/>
    </row>
    <row r="26" spans="4:17" x14ac:dyDescent="0.25">
      <c r="D26" s="3"/>
      <c r="E26" s="10"/>
      <c r="F26" s="10"/>
    </row>
  </sheetData>
  <mergeCells count="2">
    <mergeCell ref="O1:Q1"/>
    <mergeCell ref="O15:Q15"/>
  </mergeCells>
  <pageMargins left="0.7" right="0.7" top="0.75" bottom="0.75" header="0.3" footer="0.3"/>
  <pageSetup paperSize="9" orientation="portrait" r:id="rId1"/>
  <headerFooter>
    <oddHeader>&amp;L&amp;"Calibri"&amp;10&amp;K000000 For Internal Use&amp;1#_x000D_&amp;C&amp;G</oddHeader>
    <oddFooter>&amp;L_x000D_&amp;1#&amp;"Calibri"&amp;10&amp;K000000 For Internal Use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7031-1C9D-434E-8999-3EFD39CD3CFA}">
  <sheetPr codeName="Sheet3"/>
  <dimension ref="A1:AG47"/>
  <sheetViews>
    <sheetView tabSelected="1" workbookViewId="0">
      <selection activeCell="L14" sqref="L14"/>
    </sheetView>
  </sheetViews>
  <sheetFormatPr defaultRowHeight="15" x14ac:dyDescent="0.25"/>
  <cols>
    <col min="2" max="2" width="9.7109375" bestFit="1" customWidth="1"/>
    <col min="6" max="6" width="3.28515625" style="11" customWidth="1"/>
    <col min="11" max="11" width="12" bestFit="1" customWidth="1"/>
  </cols>
  <sheetData>
    <row r="1" spans="1:33" x14ac:dyDescent="0.25">
      <c r="A1" t="s">
        <v>3</v>
      </c>
      <c r="B1" s="2">
        <f>Details!B1</f>
        <v>44896</v>
      </c>
      <c r="I1" t="s">
        <v>25</v>
      </c>
    </row>
    <row r="2" spans="1:33" x14ac:dyDescent="0.25">
      <c r="A2" t="s">
        <v>8</v>
      </c>
      <c r="B2">
        <f>Details!B2</f>
        <v>50</v>
      </c>
      <c r="G2" t="s">
        <v>37</v>
      </c>
      <c r="H2" s="3" t="s">
        <v>23</v>
      </c>
      <c r="I2" cm="1">
        <f t="array" ref="I2:AG2">TRANSPOSE(linspace(0,Details!E15,25))</f>
        <v>0</v>
      </c>
      <c r="J2">
        <v>3.5388127853881279E-3</v>
      </c>
      <c r="K2">
        <v>7.0776255707762558E-3</v>
      </c>
      <c r="L2">
        <v>1.0616438356164383E-2</v>
      </c>
      <c r="M2">
        <v>1.4155251141552512E-2</v>
      </c>
      <c r="N2">
        <v>1.7694063926940638E-2</v>
      </c>
      <c r="O2">
        <v>2.1232876712328767E-2</v>
      </c>
      <c r="P2">
        <v>2.4771689497716895E-2</v>
      </c>
      <c r="Q2">
        <v>2.8310502283105023E-2</v>
      </c>
      <c r="R2">
        <v>3.1849315068493152E-2</v>
      </c>
      <c r="S2">
        <v>3.5388127853881277E-2</v>
      </c>
      <c r="T2">
        <v>3.8926940639269408E-2</v>
      </c>
      <c r="U2">
        <v>4.2465753424657533E-2</v>
      </c>
      <c r="V2">
        <v>4.6004566210045665E-2</v>
      </c>
      <c r="W2">
        <v>4.954337899543379E-2</v>
      </c>
      <c r="X2">
        <v>5.3082191780821922E-2</v>
      </c>
      <c r="Y2">
        <v>5.6621004566210047E-2</v>
      </c>
      <c r="Z2">
        <v>6.0159817351598172E-2</v>
      </c>
      <c r="AA2">
        <v>6.3698630136986303E-2</v>
      </c>
      <c r="AB2">
        <v>6.7237442922374435E-2</v>
      </c>
      <c r="AC2">
        <v>7.0776255707762553E-2</v>
      </c>
      <c r="AD2">
        <v>7.4315068493150685E-2</v>
      </c>
      <c r="AE2">
        <v>7.7853881278538817E-2</v>
      </c>
      <c r="AF2">
        <v>8.1392694063926949E-2</v>
      </c>
      <c r="AG2">
        <v>8.4931506849315067E-2</v>
      </c>
    </row>
    <row r="3" spans="1:33" x14ac:dyDescent="0.25">
      <c r="A3" t="s">
        <v>22</v>
      </c>
      <c r="B3">
        <f>Details!B3</f>
        <v>0</v>
      </c>
      <c r="E3">
        <f>EXP(H3)</f>
        <v>30.00281977414382</v>
      </c>
      <c r="G3">
        <f>EXP(H3)</f>
        <v>30.00281977414382</v>
      </c>
      <c r="H3" s="3" cm="1">
        <f t="array" ref="H3:H22">LN(linspace(Details!O3,Details!O11,20))</f>
        <v>3.4012913697166005</v>
      </c>
      <c r="I3" s="12">
        <f>MAX($B$2-EXP(H3),0)</f>
        <v>19.99718022585618</v>
      </c>
      <c r="J3" s="13">
        <f>I3</f>
        <v>19.99718022585618</v>
      </c>
      <c r="K3" s="13">
        <f t="shared" ref="K3:AG3" si="0">J3</f>
        <v>19.99718022585618</v>
      </c>
      <c r="L3" s="13">
        <f t="shared" si="0"/>
        <v>19.99718022585618</v>
      </c>
      <c r="M3" s="13">
        <f t="shared" si="0"/>
        <v>19.99718022585618</v>
      </c>
      <c r="N3" s="13">
        <f t="shared" si="0"/>
        <v>19.99718022585618</v>
      </c>
      <c r="O3" s="13">
        <f t="shared" si="0"/>
        <v>19.99718022585618</v>
      </c>
      <c r="P3" s="13">
        <f t="shared" si="0"/>
        <v>19.99718022585618</v>
      </c>
      <c r="Q3" s="13">
        <f t="shared" si="0"/>
        <v>19.99718022585618</v>
      </c>
      <c r="R3" s="13">
        <f t="shared" si="0"/>
        <v>19.99718022585618</v>
      </c>
      <c r="S3" s="13">
        <f t="shared" si="0"/>
        <v>19.99718022585618</v>
      </c>
      <c r="T3" s="13">
        <f t="shared" si="0"/>
        <v>19.99718022585618</v>
      </c>
      <c r="U3" s="13">
        <f t="shared" si="0"/>
        <v>19.99718022585618</v>
      </c>
      <c r="V3" s="13">
        <f t="shared" si="0"/>
        <v>19.99718022585618</v>
      </c>
      <c r="W3" s="13">
        <f t="shared" si="0"/>
        <v>19.99718022585618</v>
      </c>
      <c r="X3" s="13">
        <f t="shared" si="0"/>
        <v>19.99718022585618</v>
      </c>
      <c r="Y3" s="13">
        <f t="shared" si="0"/>
        <v>19.99718022585618</v>
      </c>
      <c r="Z3" s="13">
        <f t="shared" si="0"/>
        <v>19.99718022585618</v>
      </c>
      <c r="AA3" s="13">
        <f t="shared" si="0"/>
        <v>19.99718022585618</v>
      </c>
      <c r="AB3" s="13">
        <f t="shared" si="0"/>
        <v>19.99718022585618</v>
      </c>
      <c r="AC3" s="13">
        <f t="shared" si="0"/>
        <v>19.99718022585618</v>
      </c>
      <c r="AD3" s="13">
        <f t="shared" si="0"/>
        <v>19.99718022585618</v>
      </c>
      <c r="AE3" s="13">
        <f t="shared" si="0"/>
        <v>19.99718022585618</v>
      </c>
      <c r="AF3" s="13">
        <f t="shared" si="0"/>
        <v>19.99718022585618</v>
      </c>
      <c r="AG3" s="13">
        <f t="shared" si="0"/>
        <v>19.99718022585618</v>
      </c>
    </row>
    <row r="4" spans="1:33" x14ac:dyDescent="0.25">
      <c r="A4" t="s">
        <v>21</v>
      </c>
      <c r="B4">
        <f>Details!B4</f>
        <v>0</v>
      </c>
      <c r="E4">
        <f t="shared" ref="E4:E22" si="1">EXP(H4)</f>
        <v>32.825663404920896</v>
      </c>
      <c r="G4">
        <f t="shared" ref="G4:G22" si="2">EXP(H4)</f>
        <v>32.825663404920896</v>
      </c>
      <c r="H4" s="3">
        <v>3.4912106303401824</v>
      </c>
      <c r="I4" s="12">
        <f t="shared" ref="I4:I22" si="3">MAX($B$2-EXP(H4),0)</f>
        <v>17.174336595079104</v>
      </c>
      <c r="J4">
        <f>($K29-$J29)*I3+($I29+1-2*$K29)*I4+($J29+$K29)*I5</f>
        <v>17.188838479353286</v>
      </c>
      <c r="K4">
        <f t="shared" ref="K4:AG15" si="4">($K29-$J29)*J3+($I29+1-2*$K29)*J4+($J29+$K29)*J5</f>
        <v>17.202312299763118</v>
      </c>
      <c r="L4">
        <f t="shared" si="4"/>
        <v>17.214877444817262</v>
      </c>
      <c r="M4">
        <f t="shared" si="4"/>
        <v>17.226637700427812</v>
      </c>
      <c r="N4">
        <f t="shared" si="4"/>
        <v>17.237683451256512</v>
      </c>
      <c r="O4">
        <f t="shared" si="4"/>
        <v>17.248093556689952</v>
      </c>
      <c r="P4">
        <f t="shared" si="4"/>
        <v>17.25793697353885</v>
      </c>
      <c r="Q4">
        <f t="shared" si="4"/>
        <v>17.267274163301433</v>
      </c>
      <c r="R4">
        <f t="shared" si="4"/>
        <v>17.276158308782975</v>
      </c>
      <c r="S4">
        <f t="shared" si="4"/>
        <v>17.284636360261718</v>
      </c>
      <c r="T4">
        <f t="shared" si="4"/>
        <v>17.292749929797321</v>
      </c>
      <c r="U4">
        <f t="shared" si="4"/>
        <v>17.30053605147102</v>
      </c>
      <c r="V4">
        <f t="shared" si="4"/>
        <v>17.308027824512912</v>
      </c>
      <c r="W4">
        <f t="shared" si="4"/>
        <v>17.315254955192724</v>
      </c>
      <c r="X4">
        <f t="shared" si="4"/>
        <v>17.322244212039813</v>
      </c>
      <c r="Y4">
        <f t="shared" si="4"/>
        <v>17.329019807502604</v>
      </c>
      <c r="Z4">
        <f t="shared" si="4"/>
        <v>17.335603717650894</v>
      </c>
      <c r="AA4">
        <f t="shared" si="4"/>
        <v>17.342015950043152</v>
      </c>
      <c r="AB4">
        <f t="shared" si="4"/>
        <v>17.348274768479477</v>
      </c>
      <c r="AC4">
        <f t="shared" si="4"/>
        <v>17.354396882072983</v>
      </c>
      <c r="AD4">
        <f t="shared" si="4"/>
        <v>17.360397604915306</v>
      </c>
      <c r="AE4">
        <f t="shared" si="4"/>
        <v>17.366290991591139</v>
      </c>
      <c r="AF4">
        <f t="shared" si="4"/>
        <v>17.372089952909352</v>
      </c>
      <c r="AG4">
        <f t="shared" si="4"/>
        <v>17.377806355456276</v>
      </c>
    </row>
    <row r="5" spans="1:33" x14ac:dyDescent="0.25">
      <c r="A5" t="s">
        <v>29</v>
      </c>
      <c r="B5">
        <f>Details!B5</f>
        <v>50</v>
      </c>
      <c r="E5">
        <f t="shared" si="1"/>
        <v>35.648507035697982</v>
      </c>
      <c r="G5">
        <f t="shared" si="2"/>
        <v>35.648507035697982</v>
      </c>
      <c r="H5" s="3">
        <v>3.5737072676018378</v>
      </c>
      <c r="I5" s="12">
        <f t="shared" si="3"/>
        <v>14.351492964302018</v>
      </c>
      <c r="J5">
        <f t="shared" ref="J5:Y21" si="5">($K30-$J30)*I4+($I30+1-2*$K30)*I5+($J30+$K30)*I6</f>
        <v>14.363020705428228</v>
      </c>
      <c r="K5">
        <f t="shared" si="5"/>
        <v>14.374583567528695</v>
      </c>
      <c r="L5">
        <f t="shared" si="5"/>
        <v>14.386145618218221</v>
      </c>
      <c r="M5">
        <f t="shared" si="5"/>
        <v>14.397678595156405</v>
      </c>
      <c r="N5">
        <f t="shared" si="5"/>
        <v>14.409160552899261</v>
      </c>
      <c r="O5">
        <f t="shared" si="5"/>
        <v>14.420575149668293</v>
      </c>
      <c r="P5">
        <f t="shared" si="5"/>
        <v>14.431911097217846</v>
      </c>
      <c r="Q5">
        <f t="shared" si="5"/>
        <v>14.443161613913004</v>
      </c>
      <c r="R5">
        <f t="shared" si="5"/>
        <v>14.454323848598474</v>
      </c>
      <c r="S5">
        <f t="shared" si="5"/>
        <v>14.4653982883247</v>
      </c>
      <c r="T5">
        <f t="shared" si="5"/>
        <v>14.476388174085017</v>
      </c>
      <c r="U5">
        <f t="shared" si="5"/>
        <v>14.487298946536731</v>
      </c>
      <c r="V5">
        <f t="shared" si="5"/>
        <v>14.498137737437505</v>
      </c>
      <c r="W5">
        <f t="shared" si="5"/>
        <v>14.508912916024638</v>
      </c>
      <c r="X5">
        <f t="shared" si="5"/>
        <v>14.519633694164451</v>
      </c>
      <c r="Y5">
        <f t="shared" si="5"/>
        <v>14.530309790111565</v>
      </c>
      <c r="Z5">
        <f t="shared" si="4"/>
        <v>14.540951148029766</v>
      </c>
      <c r="AA5">
        <f t="shared" si="4"/>
        <v>14.551567708786877</v>
      </c>
      <c r="AB5">
        <f t="shared" si="4"/>
        <v>14.562169226682267</v>
      </c>
      <c r="AC5">
        <f t="shared" si="4"/>
        <v>14.572765126467194</v>
      </c>
      <c r="AD5">
        <f t="shared" si="4"/>
        <v>14.58336439509193</v>
      </c>
      <c r="AE5">
        <f t="shared" si="4"/>
        <v>14.593975502921166</v>
      </c>
      <c r="AF5">
        <f t="shared" si="4"/>
        <v>14.604606349600477</v>
      </c>
      <c r="AG5">
        <f t="shared" si="4"/>
        <v>14.615264230261493</v>
      </c>
    </row>
    <row r="6" spans="1:33" x14ac:dyDescent="0.25">
      <c r="E6">
        <f t="shared" si="1"/>
        <v>38.471350666475068</v>
      </c>
      <c r="G6">
        <f t="shared" si="2"/>
        <v>38.471350666475068</v>
      </c>
      <c r="H6" s="3">
        <v>3.6499138257521149</v>
      </c>
      <c r="I6" s="12">
        <f t="shared" si="3"/>
        <v>11.528649333524932</v>
      </c>
      <c r="J6">
        <f t="shared" si="5"/>
        <v>11.537732638911013</v>
      </c>
      <c r="K6">
        <f t="shared" si="4"/>
        <v>11.547185914111179</v>
      </c>
      <c r="L6">
        <f t="shared" si="4"/>
        <v>11.556980118359544</v>
      </c>
      <c r="M6">
        <f t="shared" si="4"/>
        <v>11.56708814730413</v>
      </c>
      <c r="N6">
        <f t="shared" si="4"/>
        <v>11.577494344285608</v>
      </c>
      <c r="O6">
        <f t="shared" si="4"/>
        <v>11.588194714424272</v>
      </c>
      <c r="P6">
        <f t="shared" si="4"/>
        <v>11.599194071099156</v>
      </c>
      <c r="Q6">
        <f t="shared" si="4"/>
        <v>11.610502677422023</v>
      </c>
      <c r="R6">
        <f t="shared" si="4"/>
        <v>11.62213333638557</v>
      </c>
      <c r="S6">
        <f t="shared" si="4"/>
        <v>11.634099190584845</v>
      </c>
      <c r="T6">
        <f t="shared" si="4"/>
        <v>11.646412211464723</v>
      </c>
      <c r="U6">
        <f t="shared" si="4"/>
        <v>11.659082260744546</v>
      </c>
      <c r="V6">
        <f t="shared" si="4"/>
        <v>11.672116588461883</v>
      </c>
      <c r="W6">
        <f t="shared" si="4"/>
        <v>11.685519645081733</v>
      </c>
      <c r="X6">
        <f t="shared" si="4"/>
        <v>11.699293107817253</v>
      </c>
      <c r="Y6">
        <f t="shared" si="4"/>
        <v>11.713436044504805</v>
      </c>
      <c r="Z6">
        <f t="shared" si="4"/>
        <v>11.727945158580448</v>
      </c>
      <c r="AA6">
        <f t="shared" si="4"/>
        <v>11.742815074999449</v>
      </c>
      <c r="AB6">
        <f t="shared" si="4"/>
        <v>11.7580386394913</v>
      </c>
      <c r="AC6">
        <f t="shared" si="4"/>
        <v>11.773607212907068</v>
      </c>
      <c r="AD6">
        <f t="shared" si="4"/>
        <v>11.789510949227671</v>
      </c>
      <c r="AE6">
        <f t="shared" si="4"/>
        <v>11.805739050644478</v>
      </c>
      <c r="AF6">
        <f t="shared" si="4"/>
        <v>11.822279996486147</v>
      </c>
      <c r="AG6">
        <f t="shared" si="4"/>
        <v>11.839121745037183</v>
      </c>
    </row>
    <row r="7" spans="1:33" x14ac:dyDescent="0.25">
      <c r="A7" t="s">
        <v>27</v>
      </c>
      <c r="E7">
        <f t="shared" si="1"/>
        <v>41.294194297252162</v>
      </c>
      <c r="G7">
        <f t="shared" si="2"/>
        <v>41.294194297252162</v>
      </c>
      <c r="H7" s="3">
        <v>3.7207219161691354</v>
      </c>
      <c r="I7" s="12">
        <f t="shared" si="3"/>
        <v>8.7058057027478384</v>
      </c>
      <c r="J7">
        <f t="shared" si="5"/>
        <v>8.7230397294405435</v>
      </c>
      <c r="K7">
        <f t="shared" si="4"/>
        <v>8.7401603695893009</v>
      </c>
      <c r="L7">
        <f t="shared" si="4"/>
        <v>8.7572027823257343</v>
      </c>
      <c r="M7">
        <f t="shared" si="4"/>
        <v>8.7744760894777922</v>
      </c>
      <c r="N7">
        <f t="shared" si="4"/>
        <v>8.792312738617273</v>
      </c>
      <c r="O7">
        <f t="shared" si="4"/>
        <v>8.8109799736546659</v>
      </c>
      <c r="P7">
        <f t="shared" si="4"/>
        <v>8.8306596846250347</v>
      </c>
      <c r="Q7">
        <f t="shared" si="4"/>
        <v>8.8514551010335545</v>
      </c>
      <c r="R7">
        <f t="shared" si="4"/>
        <v>8.8734060906503647</v>
      </c>
      <c r="S7">
        <f t="shared" si="4"/>
        <v>8.8965053753429952</v>
      </c>
      <c r="T7">
        <f t="shared" si="4"/>
        <v>8.9207127484904056</v>
      </c>
      <c r="U7">
        <f t="shared" si="4"/>
        <v>8.945966491392177</v>
      </c>
      <c r="V7">
        <f t="shared" si="4"/>
        <v>8.9721920680876188</v>
      </c>
      <c r="W7">
        <f t="shared" si="4"/>
        <v>8.99930849603731</v>
      </c>
      <c r="X7">
        <f t="shared" si="4"/>
        <v>9.0272328581046803</v>
      </c>
      <c r="Y7">
        <f t="shared" si="4"/>
        <v>9.0558833866603035</v>
      </c>
      <c r="Z7">
        <f t="shared" si="4"/>
        <v>9.0851814814777132</v>
      </c>
      <c r="AA7">
        <f t="shared" si="4"/>
        <v>9.1150529494752313</v>
      </c>
      <c r="AB7">
        <f t="shared" si="4"/>
        <v>9.1454286883306075</v>
      </c>
      <c r="AC7">
        <f t="shared" si="4"/>
        <v>9.1762449812500968</v>
      </c>
      <c r="AD7">
        <f t="shared" si="4"/>
        <v>9.2074435267423969</v>
      </c>
      <c r="AE7">
        <f t="shared" si="4"/>
        <v>9.2389712937397874</v>
      </c>
      <c r="AF7">
        <f t="shared" si="4"/>
        <v>9.2707802670491244</v>
      </c>
      <c r="AG7">
        <f t="shared" si="4"/>
        <v>9.3028271291961282</v>
      </c>
    </row>
    <row r="8" spans="1:33" x14ac:dyDescent="0.25">
      <c r="A8" t="s">
        <v>28</v>
      </c>
      <c r="E8">
        <f t="shared" si="1"/>
        <v>44.117037928029241</v>
      </c>
      <c r="G8">
        <f t="shared" si="2"/>
        <v>44.117037928029241</v>
      </c>
      <c r="H8" s="3">
        <v>3.7868460554141525</v>
      </c>
      <c r="I8" s="12">
        <f t="shared" si="3"/>
        <v>5.8829620719707592</v>
      </c>
      <c r="J8">
        <f t="shared" si="5"/>
        <v>5.9073656207785241</v>
      </c>
      <c r="K8">
        <f t="shared" si="4"/>
        <v>5.93166912965573</v>
      </c>
      <c r="L8">
        <f t="shared" si="4"/>
        <v>5.9602029611100713</v>
      </c>
      <c r="M8">
        <f t="shared" si="4"/>
        <v>5.9940038412582108</v>
      </c>
      <c r="N8">
        <f t="shared" si="4"/>
        <v>6.0327795481800583</v>
      </c>
      <c r="O8">
        <f t="shared" si="4"/>
        <v>6.0757778040906798</v>
      </c>
      <c r="P8">
        <f t="shared" si="4"/>
        <v>6.122161172096158</v>
      </c>
      <c r="Q8">
        <f t="shared" si="4"/>
        <v>6.1711574581106987</v>
      </c>
      <c r="R8">
        <f t="shared" si="4"/>
        <v>6.2221090749239494</v>
      </c>
      <c r="S8">
        <f t="shared" si="4"/>
        <v>6.2744785891397932</v>
      </c>
      <c r="T8">
        <f t="shared" si="4"/>
        <v>6.3278369514622268</v>
      </c>
      <c r="U8">
        <f t="shared" si="4"/>
        <v>6.381846459909168</v>
      </c>
      <c r="V8">
        <f t="shared" si="4"/>
        <v>6.4362436752504548</v>
      </c>
      <c r="W8">
        <f t="shared" si="4"/>
        <v>6.4908243035323645</v>
      </c>
      <c r="X8">
        <f t="shared" si="4"/>
        <v>6.5454305958203713</v>
      </c>
      <c r="Y8">
        <f t="shared" si="4"/>
        <v>6.5999411847772782</v>
      </c>
      <c r="Z8">
        <f t="shared" si="4"/>
        <v>6.6542630419780791</v>
      </c>
      <c r="AA8">
        <f t="shared" si="4"/>
        <v>6.7083251848757834</v>
      </c>
      <c r="AB8">
        <f t="shared" si="4"/>
        <v>6.7620737843208572</v>
      </c>
      <c r="AC8">
        <f t="shared" si="4"/>
        <v>6.8154683731273122</v>
      </c>
      <c r="AD8">
        <f t="shared" si="4"/>
        <v>6.8684789108048836</v>
      </c>
      <c r="AE8">
        <f t="shared" si="4"/>
        <v>6.9210835097682715</v>
      </c>
      <c r="AF8">
        <f t="shared" si="4"/>
        <v>6.9732666708708333</v>
      </c>
      <c r="AG8">
        <f t="shared" si="4"/>
        <v>7.0250179106152748</v>
      </c>
    </row>
    <row r="9" spans="1:33" x14ac:dyDescent="0.25">
      <c r="E9">
        <f t="shared" si="1"/>
        <v>46.93988155880632</v>
      </c>
      <c r="G9">
        <f t="shared" si="2"/>
        <v>46.93988155880632</v>
      </c>
      <c r="H9" s="3">
        <v>3.8488676671731308</v>
      </c>
      <c r="I9" s="12">
        <f t="shared" si="3"/>
        <v>3.0601184411936799</v>
      </c>
      <c r="J9">
        <f t="shared" si="5"/>
        <v>3.0912770116694785</v>
      </c>
      <c r="K9">
        <f t="shared" si="4"/>
        <v>3.1695118057756062</v>
      </c>
      <c r="L9">
        <f t="shared" si="4"/>
        <v>3.2679820404664461</v>
      </c>
      <c r="M9">
        <f t="shared" si="4"/>
        <v>3.3740470762174</v>
      </c>
      <c r="N9">
        <f t="shared" si="4"/>
        <v>3.4817207728707689</v>
      </c>
      <c r="O9">
        <f t="shared" si="4"/>
        <v>3.5882078790121597</v>
      </c>
      <c r="P9">
        <f t="shared" si="4"/>
        <v>3.6922662134658308</v>
      </c>
      <c r="Q9">
        <f t="shared" si="4"/>
        <v>3.7934139104695683</v>
      </c>
      <c r="R9">
        <f t="shared" si="4"/>
        <v>3.8915388472069132</v>
      </c>
      <c r="S9">
        <f t="shared" si="4"/>
        <v>3.9867039229550092</v>
      </c>
      <c r="T9">
        <f t="shared" si="4"/>
        <v>4.0790494921987097</v>
      </c>
      <c r="U9">
        <f t="shared" si="4"/>
        <v>4.1687446753918431</v>
      </c>
      <c r="V9">
        <f t="shared" si="4"/>
        <v>4.255963491220828</v>
      </c>
      <c r="W9">
        <f t="shared" si="4"/>
        <v>4.3408736426515242</v>
      </c>
      <c r="X9">
        <f t="shared" si="4"/>
        <v>4.4236317326715122</v>
      </c>
      <c r="Y9">
        <f t="shared" si="4"/>
        <v>4.5043817028450697</v>
      </c>
      <c r="Z9">
        <f t="shared" si="4"/>
        <v>4.5832548381402223</v>
      </c>
      <c r="AA9">
        <f t="shared" si="4"/>
        <v>4.6603704852169789</v>
      </c>
      <c r="AB9">
        <f t="shared" si="4"/>
        <v>4.7358370502676745</v>
      </c>
      <c r="AC9">
        <f t="shared" si="4"/>
        <v>4.8097530610964725</v>
      </c>
      <c r="AD9">
        <f t="shared" si="4"/>
        <v>4.882208191742567</v>
      </c>
      <c r="AE9">
        <f t="shared" si="4"/>
        <v>4.9532842063506601</v>
      </c>
      <c r="AF9">
        <f t="shared" si="4"/>
        <v>5.0230558083506862</v>
      </c>
      <c r="AG9">
        <f t="shared" si="4"/>
        <v>5.0915913951684351</v>
      </c>
    </row>
    <row r="10" spans="1:33" x14ac:dyDescent="0.25">
      <c r="E10">
        <f t="shared" si="1"/>
        <v>49.762725189583414</v>
      </c>
      <c r="G10">
        <f t="shared" si="2"/>
        <v>49.762725189583414</v>
      </c>
      <c r="H10" s="3">
        <v>3.907266213602977</v>
      </c>
      <c r="I10" s="12">
        <f t="shared" si="3"/>
        <v>0.23727481041658649</v>
      </c>
      <c r="J10">
        <f t="shared" si="5"/>
        <v>0.67737651294627177</v>
      </c>
      <c r="K10">
        <f t="shared" si="4"/>
        <v>0.98722518343730103</v>
      </c>
      <c r="L10">
        <f t="shared" si="4"/>
        <v>1.2269988453552909</v>
      </c>
      <c r="M10">
        <f t="shared" si="4"/>
        <v>1.4258534756247818</v>
      </c>
      <c r="N10">
        <f t="shared" si="4"/>
        <v>1.5987906537095595</v>
      </c>
      <c r="O10">
        <f t="shared" si="4"/>
        <v>1.7540272265061778</v>
      </c>
      <c r="P10">
        <f t="shared" si="4"/>
        <v>1.8963635209565808</v>
      </c>
      <c r="Q10">
        <f t="shared" si="4"/>
        <v>2.0287891785863814</v>
      </c>
      <c r="R10">
        <f t="shared" si="4"/>
        <v>2.1532818061331236</v>
      </c>
      <c r="S10">
        <f t="shared" si="4"/>
        <v>2.2712218378882261</v>
      </c>
      <c r="T10">
        <f t="shared" si="4"/>
        <v>2.3836180115800985</v>
      </c>
      <c r="U10">
        <f t="shared" si="4"/>
        <v>2.4912357696870107</v>
      </c>
      <c r="V10">
        <f t="shared" si="4"/>
        <v>2.5946739044744138</v>
      </c>
      <c r="W10">
        <f t="shared" si="4"/>
        <v>2.6944124592884546</v>
      </c>
      <c r="X10">
        <f t="shared" si="4"/>
        <v>2.7908439862315206</v>
      </c>
      <c r="Y10">
        <f t="shared" si="4"/>
        <v>2.8842947566221313</v>
      </c>
      <c r="Z10">
        <f t="shared" si="4"/>
        <v>2.975039656727497</v>
      </c>
      <c r="AA10">
        <f t="shared" si="4"/>
        <v>3.0633129620379518</v>
      </c>
      <c r="AB10">
        <f t="shared" si="4"/>
        <v>3.1493163279645091</v>
      </c>
      <c r="AC10">
        <f t="shared" si="4"/>
        <v>3.2332248429055133</v>
      </c>
      <c r="AD10">
        <f t="shared" si="4"/>
        <v>3.3151916967868602</v>
      </c>
      <c r="AE10">
        <f t="shared" si="4"/>
        <v>3.3953518378480658</v>
      </c>
      <c r="AF10">
        <f t="shared" si="4"/>
        <v>3.4738248757436994</v>
      </c>
      <c r="AG10">
        <f t="shared" si="4"/>
        <v>3.5507174138444579</v>
      </c>
    </row>
    <row r="11" spans="1:33" x14ac:dyDescent="0.25">
      <c r="A11" t="s">
        <v>31</v>
      </c>
      <c r="B11">
        <f>K2-J2</f>
        <v>3.5388127853881279E-3</v>
      </c>
      <c r="E11">
        <f t="shared" si="1"/>
        <v>52.585568820360493</v>
      </c>
      <c r="G11">
        <f t="shared" si="2"/>
        <v>52.585568820360493</v>
      </c>
      <c r="H11" s="3">
        <v>3.9624417250735227</v>
      </c>
      <c r="I11" s="12">
        <f t="shared" si="3"/>
        <v>0</v>
      </c>
      <c r="J11">
        <f t="shared" si="5"/>
        <v>4.3659943149387571E-2</v>
      </c>
      <c r="K11">
        <f t="shared" si="4"/>
        <v>0.15292509150937281</v>
      </c>
      <c r="L11">
        <f t="shared" si="4"/>
        <v>0.2821985926361642</v>
      </c>
      <c r="M11">
        <f t="shared" si="4"/>
        <v>0.41466428990892401</v>
      </c>
      <c r="N11">
        <f t="shared" si="4"/>
        <v>0.54433036556411463</v>
      </c>
      <c r="O11">
        <f t="shared" si="4"/>
        <v>0.66932751210258523</v>
      </c>
      <c r="P11">
        <f t="shared" si="4"/>
        <v>0.78933634961844112</v>
      </c>
      <c r="Q11">
        <f t="shared" si="4"/>
        <v>0.90458807150093024</v>
      </c>
      <c r="R11">
        <f t="shared" si="4"/>
        <v>1.0154777854870567</v>
      </c>
      <c r="S11">
        <f t="shared" si="4"/>
        <v>1.1224193493485846</v>
      </c>
      <c r="T11">
        <f t="shared" si="4"/>
        <v>1.2257953746966241</v>
      </c>
      <c r="U11">
        <f t="shared" si="4"/>
        <v>1.3259440719893572</v>
      </c>
      <c r="V11">
        <f t="shared" si="4"/>
        <v>1.4231596458951616</v>
      </c>
      <c r="W11">
        <f t="shared" si="4"/>
        <v>1.5176970464242472</v>
      </c>
      <c r="X11">
        <f t="shared" si="4"/>
        <v>1.6097775677218245</v>
      </c>
      <c r="Y11">
        <f t="shared" si="4"/>
        <v>1.6995940623873345</v>
      </c>
      <c r="Z11">
        <f t="shared" si="4"/>
        <v>1.7873154278807522</v>
      </c>
      <c r="AA11">
        <f t="shared" si="4"/>
        <v>1.8730903492437894</v>
      </c>
      <c r="AB11">
        <f t="shared" si="4"/>
        <v>1.9570503874584437</v>
      </c>
      <c r="AC11">
        <f t="shared" si="4"/>
        <v>2.0393125232962328</v>
      </c>
      <c r="AD11">
        <f t="shared" si="4"/>
        <v>2.1199812578709851</v>
      </c>
      <c r="AE11">
        <f t="shared" si="4"/>
        <v>2.1991503547697615</v>
      </c>
      <c r="AF11">
        <f t="shared" si="4"/>
        <v>2.2769042923364782</v>
      </c>
      <c r="AG11">
        <f t="shared" si="4"/>
        <v>2.3533194807543074</v>
      </c>
    </row>
    <row r="12" spans="1:33" x14ac:dyDescent="0.25">
      <c r="A12" t="s">
        <v>32</v>
      </c>
      <c r="B12">
        <f>H4-H3</f>
        <v>8.9919260623581909E-2</v>
      </c>
      <c r="E12">
        <f t="shared" si="1"/>
        <v>55.408412451137572</v>
      </c>
      <c r="G12">
        <f t="shared" si="2"/>
        <v>55.408412451137572</v>
      </c>
      <c r="H12">
        <v>4.0147314315238125</v>
      </c>
      <c r="I12" s="12">
        <f t="shared" si="3"/>
        <v>0</v>
      </c>
      <c r="J12">
        <f t="shared" si="5"/>
        <v>0</v>
      </c>
      <c r="K12">
        <f t="shared" si="4"/>
        <v>8.7717370662053606E-3</v>
      </c>
      <c r="L12">
        <f t="shared" si="4"/>
        <v>3.6122962877493149E-2</v>
      </c>
      <c r="M12">
        <f t="shared" si="4"/>
        <v>7.9301687090377757E-2</v>
      </c>
      <c r="N12">
        <f t="shared" si="4"/>
        <v>0.13385976874326125</v>
      </c>
      <c r="O12">
        <f t="shared" si="4"/>
        <v>0.19610843364733788</v>
      </c>
      <c r="P12">
        <f t="shared" si="4"/>
        <v>0.26340043253666295</v>
      </c>
      <c r="Q12">
        <f t="shared" si="4"/>
        <v>0.33392347900987207</v>
      </c>
      <c r="R12">
        <f t="shared" si="4"/>
        <v>0.40645267904778642</v>
      </c>
      <c r="S12">
        <f t="shared" si="4"/>
        <v>0.4801585096828454</v>
      </c>
      <c r="T12">
        <f t="shared" si="4"/>
        <v>0.55447448295333612</v>
      </c>
      <c r="U12">
        <f t="shared" si="4"/>
        <v>0.62900968112598687</v>
      </c>
      <c r="V12">
        <f t="shared" si="4"/>
        <v>0.70349162397429799</v>
      </c>
      <c r="W12">
        <f t="shared" si="4"/>
        <v>0.77772884750396265</v>
      </c>
      <c r="X12">
        <f t="shared" si="4"/>
        <v>0.85158614182607506</v>
      </c>
      <c r="Y12">
        <f t="shared" si="4"/>
        <v>0.92496793487904727</v>
      </c>
      <c r="Z12">
        <f t="shared" si="4"/>
        <v>0.9978069672775256</v>
      </c>
      <c r="AA12">
        <f t="shared" si="4"/>
        <v>1.0700564504117578</v>
      </c>
      <c r="AB12">
        <f t="shared" si="4"/>
        <v>1.1416845530890523</v>
      </c>
      <c r="AC12">
        <f t="shared" si="4"/>
        <v>1.2126704697944208</v>
      </c>
      <c r="AD12">
        <f t="shared" si="4"/>
        <v>1.283001580192805</v>
      </c>
      <c r="AE12">
        <f t="shared" si="4"/>
        <v>1.3526713728188677</v>
      </c>
      <c r="AF12">
        <f t="shared" si="4"/>
        <v>1.4216779113697489</v>
      </c>
      <c r="AG12">
        <f t="shared" si="4"/>
        <v>1.4900226911823791</v>
      </c>
    </row>
    <row r="13" spans="1:33" x14ac:dyDescent="0.25">
      <c r="A13" t="s">
        <v>33</v>
      </c>
      <c r="B13">
        <f>B11/(B12^2)</f>
        <v>0.43767539594899646</v>
      </c>
      <c r="E13">
        <f t="shared" si="1"/>
        <v>58.231256081914665</v>
      </c>
      <c r="G13">
        <f t="shared" si="2"/>
        <v>58.231256081914665</v>
      </c>
      <c r="H13">
        <v>4.0644222566607642</v>
      </c>
      <c r="I13" s="12">
        <f t="shared" si="3"/>
        <v>0</v>
      </c>
      <c r="J13">
        <f t="shared" si="5"/>
        <v>0</v>
      </c>
      <c r="K13">
        <f t="shared" si="4"/>
        <v>0</v>
      </c>
      <c r="L13">
        <f t="shared" si="4"/>
        <v>2.0288335961391509E-3</v>
      </c>
      <c r="M13">
        <f t="shared" si="4"/>
        <v>9.4856630285034792E-3</v>
      </c>
      <c r="N13">
        <f t="shared" si="4"/>
        <v>2.3746854488172337E-2</v>
      </c>
      <c r="O13">
        <f t="shared" si="4"/>
        <v>4.4804974877323545E-2</v>
      </c>
      <c r="P13">
        <f t="shared" si="4"/>
        <v>7.2012915033392605E-2</v>
      </c>
      <c r="Q13">
        <f t="shared" si="4"/>
        <v>0.10452143243593318</v>
      </c>
      <c r="R13">
        <f t="shared" si="4"/>
        <v>0.14148628377348366</v>
      </c>
      <c r="S13">
        <f t="shared" si="4"/>
        <v>0.18214997924347645</v>
      </c>
      <c r="T13">
        <f t="shared" si="4"/>
        <v>0.22586372180585115</v>
      </c>
      <c r="U13">
        <f t="shared" si="4"/>
        <v>0.27208382368561773</v>
      </c>
      <c r="V13">
        <f t="shared" si="4"/>
        <v>0.32035897713811273</v>
      </c>
      <c r="W13">
        <f t="shared" si="4"/>
        <v>0.37031563149340585</v>
      </c>
      <c r="X13">
        <f t="shared" si="4"/>
        <v>0.42164437361649898</v>
      </c>
      <c r="Y13">
        <f t="shared" si="4"/>
        <v>0.47408824095617241</v>
      </c>
      <c r="Z13">
        <f t="shared" si="4"/>
        <v>0.52743306582358274</v>
      </c>
      <c r="AA13">
        <f t="shared" si="4"/>
        <v>0.58149963932412896</v>
      </c>
      <c r="AB13">
        <f t="shared" si="4"/>
        <v>0.63613739986282813</v>
      </c>
      <c r="AC13">
        <f t="shared" si="4"/>
        <v>0.69121935899501885</v>
      </c>
      <c r="AD13">
        <f t="shared" si="4"/>
        <v>0.74663801641017746</v>
      </c>
      <c r="AE13">
        <f t="shared" si="4"/>
        <v>0.80230206066564391</v>
      </c>
      <c r="AF13">
        <f t="shared" si="4"/>
        <v>0.85813369328446287</v>
      </c>
      <c r="AG13">
        <f t="shared" si="4"/>
        <v>0.91406644815829097</v>
      </c>
    </row>
    <row r="14" spans="1:33" x14ac:dyDescent="0.25">
      <c r="E14">
        <f t="shared" si="1"/>
        <v>61.054099712691773</v>
      </c>
      <c r="G14">
        <f t="shared" si="2"/>
        <v>61.054099712691773</v>
      </c>
      <c r="H14">
        <v>4.1117603516630723</v>
      </c>
      <c r="I14" s="12">
        <f t="shared" si="3"/>
        <v>0</v>
      </c>
      <c r="J14">
        <f t="shared" si="5"/>
        <v>0</v>
      </c>
      <c r="K14">
        <f t="shared" si="4"/>
        <v>0</v>
      </c>
      <c r="L14">
        <f t="shared" si="4"/>
        <v>0</v>
      </c>
      <c r="M14">
        <f t="shared" si="4"/>
        <v>5.6040493344713396E-4</v>
      </c>
      <c r="N14">
        <f t="shared" si="4"/>
        <v>2.8842670056580971E-3</v>
      </c>
      <c r="O14">
        <f t="shared" si="4"/>
        <v>7.9660442927341202E-3</v>
      </c>
      <c r="P14">
        <f t="shared" si="4"/>
        <v>1.6390871877679319E-2</v>
      </c>
      <c r="Q14">
        <f t="shared" si="4"/>
        <v>2.8386873228625559E-2</v>
      </c>
      <c r="R14">
        <f t="shared" si="4"/>
        <v>4.3936691728513368E-2</v>
      </c>
      <c r="S14">
        <f t="shared" si="4"/>
        <v>6.2875835679010464E-2</v>
      </c>
      <c r="T14">
        <f t="shared" si="4"/>
        <v>8.4962680100032509E-2</v>
      </c>
      <c r="U14">
        <f t="shared" si="4"/>
        <v>0.10992339723095117</v>
      </c>
      <c r="V14">
        <f t="shared" si="4"/>
        <v>0.13747885302284538</v>
      </c>
      <c r="W14">
        <f t="shared" si="4"/>
        <v>0.16735967578313404</v>
      </c>
      <c r="X14">
        <f t="shared" si="4"/>
        <v>0.19931397064239828</v>
      </c>
      <c r="Y14">
        <f t="shared" si="4"/>
        <v>0.23311063498937157</v>
      </c>
      <c r="Z14">
        <f t="shared" si="4"/>
        <v>0.268540137426168</v>
      </c>
      <c r="AA14">
        <f t="shared" si="4"/>
        <v>0.3054139002414018</v>
      </c>
      <c r="AB14">
        <f t="shared" si="4"/>
        <v>0.34356296802881187</v>
      </c>
      <c r="AC14">
        <f t="shared" si="4"/>
        <v>0.38283636276848065</v>
      </c>
      <c r="AD14">
        <f t="shared" si="4"/>
        <v>0.42309935419275579</v>
      </c>
      <c r="AE14">
        <f t="shared" si="4"/>
        <v>0.46423177131102039</v>
      </c>
      <c r="AF14">
        <f t="shared" si="4"/>
        <v>0.50612641986642881</v>
      </c>
      <c r="AG14">
        <f t="shared" si="4"/>
        <v>0.54868763474347559</v>
      </c>
    </row>
    <row r="15" spans="1:33" x14ac:dyDescent="0.25">
      <c r="E15">
        <f t="shared" si="1"/>
        <v>63.876943343468859</v>
      </c>
      <c r="G15">
        <f t="shared" si="2"/>
        <v>63.876943343468859</v>
      </c>
      <c r="H15">
        <v>4.1569584722249591</v>
      </c>
      <c r="I15" s="12">
        <f t="shared" si="3"/>
        <v>0</v>
      </c>
      <c r="J15">
        <f t="shared" si="5"/>
        <v>0</v>
      </c>
      <c r="K15">
        <f t="shared" si="4"/>
        <v>0</v>
      </c>
      <c r="L15">
        <f t="shared" si="4"/>
        <v>0</v>
      </c>
      <c r="M15">
        <f t="shared" si="4"/>
        <v>0</v>
      </c>
      <c r="N15">
        <f t="shared" si="4"/>
        <v>1.8714582133614609E-4</v>
      </c>
      <c r="O15">
        <f t="shared" si="4"/>
        <v>1.0307236809603763E-3</v>
      </c>
      <c r="P15">
        <f t="shared" si="4"/>
        <v>3.0499518289936163E-3</v>
      </c>
      <c r="Q15">
        <f t="shared" si="4"/>
        <v>6.6793706056554715E-3</v>
      </c>
      <c r="R15">
        <f t="shared" si="4"/>
        <v>1.2223537951397476E-2</v>
      </c>
      <c r="S15">
        <f t="shared" si="4"/>
        <v>1.9861255232461222E-2</v>
      </c>
      <c r="T15">
        <f t="shared" si="4"/>
        <v>2.9668845390487666E-2</v>
      </c>
      <c r="U15">
        <f t="shared" si="4"/>
        <v>4.1646729573032969E-2</v>
      </c>
      <c r="V15">
        <f t="shared" si="4"/>
        <v>5.5742828223176832E-2</v>
      </c>
      <c r="W15">
        <f t="shared" si="4"/>
        <v>7.1870985790569594E-2</v>
      </c>
      <c r="X15">
        <f t="shared" si="4"/>
        <v>8.9924602586998081E-2</v>
      </c>
      <c r="Y15">
        <f t="shared" si="4"/>
        <v>0.10978631771757839</v>
      </c>
      <c r="Z15">
        <f t="shared" si="4"/>
        <v>0.13133467347406896</v>
      </c>
      <c r="AA15">
        <f t="shared" si="4"/>
        <v>0.15444856830054043</v>
      </c>
      <c r="AB15">
        <f t="shared" ref="K15:AG21" si="6">($K40-$J40)*AA14+($I40+1-2*$K40)*AA15+($J40+$K40)*AA16</f>
        <v>0.17901013244295808</v>
      </c>
      <c r="AC15">
        <f t="shared" si="6"/>
        <v>0.20490649956015339</v>
      </c>
      <c r="AD15">
        <f t="shared" si="6"/>
        <v>0.23203081727326336</v>
      </c>
      <c r="AE15">
        <f t="shared" si="6"/>
        <v>0.26028274075459623</v>
      </c>
      <c r="AF15">
        <f t="shared" si="6"/>
        <v>0.28956858104721961</v>
      </c>
      <c r="AG15">
        <f t="shared" si="6"/>
        <v>0.31980122785453907</v>
      </c>
    </row>
    <row r="16" spans="1:33" x14ac:dyDescent="0.25">
      <c r="E16">
        <f t="shared" si="1"/>
        <v>66.699786974245924</v>
      </c>
      <c r="G16">
        <f t="shared" si="2"/>
        <v>66.699786974245924</v>
      </c>
      <c r="H16">
        <v>4.2002017591270615</v>
      </c>
      <c r="I16" s="12">
        <f t="shared" si="3"/>
        <v>0</v>
      </c>
      <c r="J16">
        <f t="shared" si="5"/>
        <v>0</v>
      </c>
      <c r="K16">
        <f t="shared" si="6"/>
        <v>0</v>
      </c>
      <c r="L16">
        <f t="shared" si="6"/>
        <v>0</v>
      </c>
      <c r="M16">
        <f t="shared" si="6"/>
        <v>0</v>
      </c>
      <c r="N16">
        <f t="shared" si="6"/>
        <v>0</v>
      </c>
      <c r="O16">
        <f t="shared" si="6"/>
        <v>5.8266535599334978E-5</v>
      </c>
      <c r="P16">
        <f t="shared" si="6"/>
        <v>3.444543848278309E-4</v>
      </c>
      <c r="Q16">
        <f t="shared" si="6"/>
        <v>1.093078422225181E-3</v>
      </c>
      <c r="R16">
        <f t="shared" si="6"/>
        <v>2.5488887626517495E-3</v>
      </c>
      <c r="S16">
        <f t="shared" si="6"/>
        <v>4.9305392899791434E-3</v>
      </c>
      <c r="T16">
        <f t="shared" si="6"/>
        <v>8.413550226601528E-3</v>
      </c>
      <c r="U16">
        <f t="shared" si="6"/>
        <v>1.3126398427401103E-2</v>
      </c>
      <c r="V16">
        <f t="shared" si="6"/>
        <v>1.9153789259086434E-2</v>
      </c>
      <c r="W16">
        <f t="shared" si="6"/>
        <v>2.6543049950423281E-2</v>
      </c>
      <c r="X16">
        <f t="shared" si="6"/>
        <v>3.5311297636691316E-2</v>
      </c>
      <c r="Y16">
        <f t="shared" si="6"/>
        <v>4.5452199303011837E-2</v>
      </c>
      <c r="Z16">
        <f t="shared" si="6"/>
        <v>5.6941830177096725E-2</v>
      </c>
      <c r="AA16">
        <f t="shared" si="6"/>
        <v>6.9743506635739541E-2</v>
      </c>
      <c r="AB16">
        <f t="shared" si="6"/>
        <v>8.3811647692617661E-2</v>
      </c>
      <c r="AC16">
        <f t="shared" si="6"/>
        <v>9.9094791255798773E-2</v>
      </c>
      <c r="AD16">
        <f t="shared" si="6"/>
        <v>0.11553790907523664</v>
      </c>
      <c r="AE16">
        <f t="shared" si="6"/>
        <v>0.13308415659486997</v>
      </c>
      <c r="AF16">
        <f t="shared" si="6"/>
        <v>0.15167617616872087</v>
      </c>
      <c r="AG16">
        <f t="shared" si="6"/>
        <v>0.17125705198720159</v>
      </c>
    </row>
    <row r="17" spans="5:33" x14ac:dyDescent="0.25">
      <c r="E17">
        <f t="shared" si="1"/>
        <v>69.522630605023011</v>
      </c>
      <c r="G17">
        <f t="shared" si="2"/>
        <v>69.522630605023011</v>
      </c>
      <c r="H17">
        <v>4.2416523197841478</v>
      </c>
      <c r="I17" s="12">
        <f t="shared" si="3"/>
        <v>0</v>
      </c>
      <c r="J17">
        <f t="shared" si="5"/>
        <v>0</v>
      </c>
      <c r="K17">
        <f t="shared" si="6"/>
        <v>0</v>
      </c>
      <c r="L17">
        <f t="shared" si="6"/>
        <v>0</v>
      </c>
      <c r="M17">
        <f t="shared" si="6"/>
        <v>0</v>
      </c>
      <c r="N17">
        <f t="shared" si="6"/>
        <v>0</v>
      </c>
      <c r="O17">
        <f t="shared" si="6"/>
        <v>0</v>
      </c>
      <c r="P17">
        <f t="shared" si="6"/>
        <v>1.5116874800540679E-5</v>
      </c>
      <c r="Q17">
        <f t="shared" si="6"/>
        <v>9.6976868655745276E-5</v>
      </c>
      <c r="R17">
        <f t="shared" si="6"/>
        <v>3.3318126467047292E-4</v>
      </c>
      <c r="S17">
        <f t="shared" si="6"/>
        <v>8.3440408351358815E-4</v>
      </c>
      <c r="T17">
        <f t="shared" si="6"/>
        <v>1.7193780178758032E-3</v>
      </c>
      <c r="U17">
        <f t="shared" si="6"/>
        <v>3.102866269748733E-3</v>
      </c>
      <c r="V17">
        <f t="shared" si="6"/>
        <v>5.0878797901090771E-3</v>
      </c>
      <c r="W17">
        <f t="shared" si="6"/>
        <v>7.7616289950922434E-3</v>
      </c>
      <c r="X17">
        <f t="shared" si="6"/>
        <v>1.1194185227138401E-2</v>
      </c>
      <c r="Y17">
        <f t="shared" si="6"/>
        <v>1.543887418599962E-2</v>
      </c>
      <c r="Z17">
        <f t="shared" si="6"/>
        <v>2.0533648568676632E-2</v>
      </c>
      <c r="AA17">
        <f t="shared" si="6"/>
        <v>2.6502922833217122E-2</v>
      </c>
      <c r="AB17">
        <f t="shared" si="6"/>
        <v>3.3359542951622301E-2</v>
      </c>
      <c r="AC17">
        <f t="shared" si="6"/>
        <v>4.1106699887102263E-2</v>
      </c>
      <c r="AD17">
        <f t="shared" si="6"/>
        <v>4.9739685837480146E-2</v>
      </c>
      <c r="AE17">
        <f t="shared" si="6"/>
        <v>5.924744901812147E-2</v>
      </c>
      <c r="AF17">
        <f t="shared" si="6"/>
        <v>6.9613936516221372E-2</v>
      </c>
      <c r="AG17">
        <f t="shared" si="6"/>
        <v>8.0819233552949177E-2</v>
      </c>
    </row>
    <row r="18" spans="5:33" x14ac:dyDescent="0.25">
      <c r="E18">
        <f t="shared" si="1"/>
        <v>72.345474235800069</v>
      </c>
      <c r="G18">
        <f t="shared" si="2"/>
        <v>72.345474235800069</v>
      </c>
      <c r="H18">
        <v>4.2814528973655701</v>
      </c>
      <c r="I18" s="12">
        <f t="shared" si="3"/>
        <v>0</v>
      </c>
      <c r="J18">
        <f t="shared" si="5"/>
        <v>0</v>
      </c>
      <c r="K18">
        <f t="shared" si="6"/>
        <v>0</v>
      </c>
      <c r="L18">
        <f t="shared" si="6"/>
        <v>0</v>
      </c>
      <c r="M18">
        <f t="shared" si="6"/>
        <v>0</v>
      </c>
      <c r="N18">
        <f t="shared" si="6"/>
        <v>0</v>
      </c>
      <c r="O18">
        <f t="shared" si="6"/>
        <v>0</v>
      </c>
      <c r="P18">
        <f t="shared" si="6"/>
        <v>0</v>
      </c>
      <c r="Q18">
        <f t="shared" si="6"/>
        <v>3.2359209677840435E-6</v>
      </c>
      <c r="R18">
        <f t="shared" si="6"/>
        <v>2.2669049032362147E-5</v>
      </c>
      <c r="S18">
        <f t="shared" si="6"/>
        <v>8.4812861804624571E-5</v>
      </c>
      <c r="T18">
        <f t="shared" si="6"/>
        <v>2.2952529380082287E-4</v>
      </c>
      <c r="U18">
        <f t="shared" si="6"/>
        <v>5.0700190039589487E-4</v>
      </c>
      <c r="V18">
        <f t="shared" si="6"/>
        <v>9.7364706260944748E-4</v>
      </c>
      <c r="W18">
        <f t="shared" si="6"/>
        <v>1.6880287849931814E-3</v>
      </c>
      <c r="X18">
        <f t="shared" si="6"/>
        <v>2.7075369033251668E-3</v>
      </c>
      <c r="Y18">
        <f t="shared" si="6"/>
        <v>4.0859402036959262E-3</v>
      </c>
      <c r="Z18">
        <f t="shared" si="6"/>
        <v>5.8717998826863984E-3</v>
      </c>
      <c r="AA18">
        <f t="shared" si="6"/>
        <v>8.1075931765808677E-3</v>
      </c>
      <c r="AB18">
        <f t="shared" si="6"/>
        <v>1.0829375936600971E-2</v>
      </c>
      <c r="AC18">
        <f t="shared" si="6"/>
        <v>1.4066826393562996E-2</v>
      </c>
      <c r="AD18">
        <f t="shared" si="6"/>
        <v>1.7843540473732059E-2</v>
      </c>
      <c r="AE18">
        <f t="shared" si="6"/>
        <v>2.2177479378743481E-2</v>
      </c>
      <c r="AF18">
        <f t="shared" si="6"/>
        <v>2.7081497200038086E-2</v>
      </c>
      <c r="AG18">
        <f t="shared" si="6"/>
        <v>3.2563898285801481E-2</v>
      </c>
    </row>
    <row r="19" spans="5:33" x14ac:dyDescent="0.25">
      <c r="E19">
        <f t="shared" si="1"/>
        <v>75.168317866577155</v>
      </c>
      <c r="G19">
        <f t="shared" si="2"/>
        <v>75.168317866577155</v>
      </c>
      <c r="H19">
        <v>4.319729837216193</v>
      </c>
      <c r="I19" s="12">
        <f t="shared" si="3"/>
        <v>0</v>
      </c>
      <c r="J19">
        <f t="shared" si="5"/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5.6475519818193429E-7</v>
      </c>
      <c r="S19">
        <f t="shared" si="6"/>
        <v>4.3324652853867457E-6</v>
      </c>
      <c r="T19">
        <f t="shared" si="6"/>
        <v>1.7700027201917324E-5</v>
      </c>
      <c r="U19">
        <f t="shared" si="6"/>
        <v>5.1952095723181206E-5</v>
      </c>
      <c r="V19">
        <f t="shared" si="6"/>
        <v>1.235575623871165E-4</v>
      </c>
      <c r="W19">
        <f t="shared" si="6"/>
        <v>2.537231508936863E-4</v>
      </c>
      <c r="X19">
        <f t="shared" si="6"/>
        <v>4.674544775072473E-4</v>
      </c>
      <c r="Y19">
        <f t="shared" si="6"/>
        <v>7.9238693515360837E-4</v>
      </c>
      <c r="Z19">
        <f t="shared" si="6"/>
        <v>1.2575913351452422E-3</v>
      </c>
      <c r="AA19">
        <f t="shared" si="6"/>
        <v>1.8924859237487591E-3</v>
      </c>
      <c r="AB19">
        <f t="shared" si="6"/>
        <v>2.72592297433133E-3</v>
      </c>
      <c r="AC19">
        <f t="shared" si="6"/>
        <v>3.7854725864343813E-3</v>
      </c>
      <c r="AD19">
        <f t="shared" si="6"/>
        <v>5.0968978105497944E-3</v>
      </c>
      <c r="AE19">
        <f t="shared" si="6"/>
        <v>6.6837998696298003E-3</v>
      </c>
      <c r="AF19">
        <f t="shared" si="6"/>
        <v>8.5674058546098535E-3</v>
      </c>
      <c r="AG19">
        <f t="shared" si="6"/>
        <v>1.0766470373655844E-2</v>
      </c>
    </row>
    <row r="20" spans="5:33" x14ac:dyDescent="0.25">
      <c r="E20">
        <f t="shared" si="1"/>
        <v>77.99116149735427</v>
      </c>
      <c r="G20">
        <f t="shared" si="2"/>
        <v>77.99116149735427</v>
      </c>
      <c r="H20">
        <v>4.3565955061325763</v>
      </c>
      <c r="I20" s="12">
        <f t="shared" si="3"/>
        <v>0</v>
      </c>
      <c r="J20">
        <f t="shared" si="5"/>
        <v>0</v>
      </c>
      <c r="K20">
        <f t="shared" si="6"/>
        <v>0</v>
      </c>
      <c r="L20">
        <f t="shared" si="6"/>
        <v>0</v>
      </c>
      <c r="M20">
        <f t="shared" si="6"/>
        <v>0</v>
      </c>
      <c r="N20">
        <f t="shared" si="6"/>
        <v>0</v>
      </c>
      <c r="O20">
        <f t="shared" si="6"/>
        <v>0</v>
      </c>
      <c r="P20">
        <f t="shared" si="6"/>
        <v>0</v>
      </c>
      <c r="Q20">
        <f t="shared" si="6"/>
        <v>0</v>
      </c>
      <c r="R20">
        <f t="shared" si="6"/>
        <v>0</v>
      </c>
      <c r="S20">
        <f t="shared" si="6"/>
        <v>7.9214442043629237E-8</v>
      </c>
      <c r="T20">
        <f t="shared" si="6"/>
        <v>6.6563476382821794E-7</v>
      </c>
      <c r="U20">
        <f t="shared" si="6"/>
        <v>2.9707299328193472E-6</v>
      </c>
      <c r="V20">
        <f t="shared" si="6"/>
        <v>9.4705282200284092E-6</v>
      </c>
      <c r="W20">
        <f t="shared" si="6"/>
        <v>2.4309021163365592E-5</v>
      </c>
      <c r="X20">
        <f t="shared" si="6"/>
        <v>5.3545278471499498E-5</v>
      </c>
      <c r="Y20">
        <f t="shared" si="6"/>
        <v>1.0521977436497012E-4</v>
      </c>
      <c r="Z20">
        <f t="shared" si="6"/>
        <v>1.8925602591919068E-4</v>
      </c>
      <c r="AA20">
        <f t="shared" si="6"/>
        <v>3.1723553077089362E-4</v>
      </c>
      <c r="AB20">
        <f t="shared" si="6"/>
        <v>5.0209048517706027E-4</v>
      </c>
      <c r="AC20">
        <f t="shared" si="6"/>
        <v>7.577555332706486E-4</v>
      </c>
      <c r="AD20">
        <f t="shared" si="6"/>
        <v>1.0988118564838403E-3</v>
      </c>
      <c r="AE20">
        <f t="shared" si="6"/>
        <v>1.5401476976708596E-3</v>
      </c>
      <c r="AF20">
        <f t="shared" si="6"/>
        <v>2.0966508768027249E-3</v>
      </c>
      <c r="AG20">
        <f t="shared" si="6"/>
        <v>2.7829418621892078E-3</v>
      </c>
    </row>
    <row r="21" spans="5:33" x14ac:dyDescent="0.25">
      <c r="E21">
        <f t="shared" si="1"/>
        <v>80.814005128131342</v>
      </c>
      <c r="G21">
        <f t="shared" si="2"/>
        <v>80.814005128131342</v>
      </c>
      <c r="H21">
        <v>4.3921502813007081</v>
      </c>
      <c r="I21" s="12">
        <f t="shared" si="3"/>
        <v>0</v>
      </c>
      <c r="J21">
        <f t="shared" si="5"/>
        <v>0</v>
      </c>
      <c r="K21">
        <f t="shared" si="6"/>
        <v>0</v>
      </c>
      <c r="L21">
        <f t="shared" si="6"/>
        <v>0</v>
      </c>
      <c r="M21">
        <f t="shared" si="6"/>
        <v>0</v>
      </c>
      <c r="N21">
        <f t="shared" si="6"/>
        <v>0</v>
      </c>
      <c r="O21">
        <f t="shared" si="6"/>
        <v>0</v>
      </c>
      <c r="P21">
        <f t="shared" si="6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8.7739134283045409E-9</v>
      </c>
      <c r="U21">
        <f t="shared" si="6"/>
        <v>8.0640644175751349E-8</v>
      </c>
      <c r="V21">
        <f t="shared" si="6"/>
        <v>3.9258808938499897E-7</v>
      </c>
      <c r="W21">
        <f t="shared" si="6"/>
        <v>1.3583328282290208E-6</v>
      </c>
      <c r="X21">
        <f t="shared" si="6"/>
        <v>3.7628817132017396E-6</v>
      </c>
      <c r="Y21">
        <f t="shared" si="6"/>
        <v>8.8959383081286256E-6</v>
      </c>
      <c r="Z21">
        <f t="shared" si="6"/>
        <v>1.8664374636891797E-5</v>
      </c>
      <c r="AA21">
        <f t="shared" si="6"/>
        <v>3.5669965133447222E-5</v>
      </c>
      <c r="AB21">
        <f t="shared" si="6"/>
        <v>6.3245713370992671E-5</v>
      </c>
      <c r="AC21">
        <f t="shared" si="6"/>
        <v>1.054504427950004E-4</v>
      </c>
      <c r="AD21">
        <f t="shared" si="6"/>
        <v>1.6702596138951491E-4</v>
      </c>
      <c r="AE21">
        <f t="shared" si="6"/>
        <v>2.5332388588841212E-4</v>
      </c>
      <c r="AF21">
        <f t="shared" si="6"/>
        <v>3.7021037779778898E-4</v>
      </c>
      <c r="AG21">
        <f t="shared" si="6"/>
        <v>5.2395701718439889E-4</v>
      </c>
    </row>
    <row r="22" spans="5:33" x14ac:dyDescent="0.25">
      <c r="E22">
        <f t="shared" si="1"/>
        <v>83.636848758908485</v>
      </c>
      <c r="G22">
        <f t="shared" si="2"/>
        <v>83.636848758908485</v>
      </c>
      <c r="H22">
        <v>4.4264841976061469</v>
      </c>
      <c r="I22" s="12">
        <f t="shared" si="3"/>
        <v>0</v>
      </c>
      <c r="J22" s="13">
        <f>I22</f>
        <v>0</v>
      </c>
      <c r="K22" s="13">
        <f t="shared" ref="K22:AG22" si="7">J22</f>
        <v>0</v>
      </c>
      <c r="L22" s="13">
        <f t="shared" si="7"/>
        <v>0</v>
      </c>
      <c r="M22" s="13">
        <f t="shared" si="7"/>
        <v>0</v>
      </c>
      <c r="N22" s="13">
        <f t="shared" si="7"/>
        <v>0</v>
      </c>
      <c r="O22" s="13">
        <f t="shared" si="7"/>
        <v>0</v>
      </c>
      <c r="P22" s="13">
        <f t="shared" si="7"/>
        <v>0</v>
      </c>
      <c r="Q22" s="13">
        <f t="shared" si="7"/>
        <v>0</v>
      </c>
      <c r="R22" s="13">
        <f t="shared" si="7"/>
        <v>0</v>
      </c>
      <c r="S22" s="13">
        <f t="shared" si="7"/>
        <v>0</v>
      </c>
      <c r="T22" s="13">
        <f t="shared" si="7"/>
        <v>0</v>
      </c>
      <c r="U22" s="13">
        <f t="shared" si="7"/>
        <v>0</v>
      </c>
      <c r="V22" s="13">
        <f t="shared" si="7"/>
        <v>0</v>
      </c>
      <c r="W22" s="13">
        <f t="shared" si="7"/>
        <v>0</v>
      </c>
      <c r="X22" s="13">
        <f t="shared" si="7"/>
        <v>0</v>
      </c>
      <c r="Y22" s="13">
        <f t="shared" si="7"/>
        <v>0</v>
      </c>
      <c r="Z22" s="13">
        <f t="shared" si="7"/>
        <v>0</v>
      </c>
      <c r="AA22" s="13">
        <f t="shared" si="7"/>
        <v>0</v>
      </c>
      <c r="AB22" s="13">
        <f t="shared" si="7"/>
        <v>0</v>
      </c>
      <c r="AC22" s="13">
        <f t="shared" si="7"/>
        <v>0</v>
      </c>
      <c r="AD22" s="13">
        <f t="shared" si="7"/>
        <v>0</v>
      </c>
      <c r="AE22" s="13">
        <f t="shared" si="7"/>
        <v>0</v>
      </c>
      <c r="AF22" s="13">
        <f t="shared" si="7"/>
        <v>0</v>
      </c>
      <c r="AG22" s="13">
        <f t="shared" si="7"/>
        <v>0</v>
      </c>
    </row>
    <row r="26" spans="5:33" x14ac:dyDescent="0.25">
      <c r="H26" t="s">
        <v>35</v>
      </c>
    </row>
    <row r="27" spans="5:33" x14ac:dyDescent="0.25">
      <c r="H27" t="s">
        <v>34</v>
      </c>
      <c r="I27" s="3" t="s">
        <v>26</v>
      </c>
      <c r="J27" s="3" t="s">
        <v>27</v>
      </c>
      <c r="K27" s="3" t="s">
        <v>28</v>
      </c>
    </row>
    <row r="28" spans="5:33" x14ac:dyDescent="0.25">
      <c r="H28" cm="1">
        <f t="array" ref="H28">interp_lin_range(Details!$P$3:$P$11,Details!$Q$3:$Q$11,'PDE Grid'!$H3,1)</f>
        <v>57.133595171126181</v>
      </c>
      <c r="I28" s="3">
        <f>-$B$4*$B$11</f>
        <v>0</v>
      </c>
      <c r="J28">
        <f>-($B$3-$B$4+(H28%^2)/2)*($B$11/(2*$B$12))</f>
        <v>-3.2116482623796897E-3</v>
      </c>
      <c r="K28">
        <f>$B$11*(H28%^2)/2*(1/($B$12^2))</f>
        <v>7.1434045166901966E-2</v>
      </c>
    </row>
    <row r="29" spans="5:33" x14ac:dyDescent="0.25">
      <c r="H29" cm="1">
        <f t="array" ref="H29">interp_lin_range(Details!$P$3:$P$11,Details!$Q$3:$Q$11,'PDE Grid'!$H4,1)</f>
        <v>51.095349535455675</v>
      </c>
      <c r="I29" s="3">
        <f t="shared" ref="I29:I47" si="8">-$B$4*$B$11</f>
        <v>0</v>
      </c>
      <c r="J29">
        <f t="shared" ref="J29:J47" si="9">-($B$3-$B$4+(H29%^2)/2)*($B$11/(2*$B$12))</f>
        <v>-2.5686658864256273E-3</v>
      </c>
      <c r="K29">
        <f t="shared" ref="K29:K47" si="10">$B$11*(H29%^2)/2*(1/($B$12^2))</f>
        <v>5.7132718143191194E-2</v>
      </c>
    </row>
    <row r="30" spans="5:33" x14ac:dyDescent="0.25">
      <c r="H30" cm="1">
        <f t="array" ref="H30">interp_lin_range(Details!$P$3:$P$11,Details!$Q$3:$Q$11,'PDE Grid'!$H5,1)</f>
        <v>45.555546867504859</v>
      </c>
      <c r="I30" s="3">
        <f t="shared" si="8"/>
        <v>0</v>
      </c>
      <c r="J30">
        <f t="shared" si="9"/>
        <v>-2.0418667545951605E-3</v>
      </c>
      <c r="K30">
        <f t="shared" si="10"/>
        <v>4.5415559256937833E-2</v>
      </c>
    </row>
    <row r="31" spans="5:33" x14ac:dyDescent="0.25">
      <c r="H31" cm="1">
        <f t="array" ref="H31">interp_lin_range(Details!$P$3:$P$11,Details!$Q$3:$Q$11,'PDE Grid'!$H6,1)</f>
        <v>40.438134713876643</v>
      </c>
      <c r="I31" s="3">
        <f t="shared" si="8"/>
        <v>0</v>
      </c>
      <c r="J31">
        <f t="shared" si="9"/>
        <v>-1.6088927645596478E-3</v>
      </c>
      <c r="K31">
        <f t="shared" si="10"/>
        <v>3.5785275666239305E-2</v>
      </c>
    </row>
    <row r="32" spans="5:33" x14ac:dyDescent="0.25">
      <c r="H32" cm="1">
        <f t="array" ref="H32">interp_lin_range(Details!$P$3:$P$11,Details!$Q$3:$Q$11,'PDE Grid'!$H7,1)</f>
        <v>55.700941692518271</v>
      </c>
      <c r="I32" s="3">
        <f t="shared" si="8"/>
        <v>0</v>
      </c>
      <c r="J32">
        <f t="shared" si="9"/>
        <v>-3.0526003114031545E-3</v>
      </c>
      <c r="K32">
        <f t="shared" si="10"/>
        <v>6.7896472685243389E-2</v>
      </c>
    </row>
    <row r="33" spans="8:11" x14ac:dyDescent="0.25">
      <c r="H33" cm="1">
        <f t="array" ref="H33">interp_lin_range(Details!$P$3:$P$11,Details!$Q$3:$Q$11,'PDE Grid'!$H8,1)</f>
        <v>66.282007004995634</v>
      </c>
      <c r="I33" s="3">
        <f t="shared" si="8"/>
        <v>0</v>
      </c>
      <c r="J33">
        <f t="shared" si="9"/>
        <v>-4.3225116229777365E-3</v>
      </c>
      <c r="K33">
        <f t="shared" si="10"/>
        <v>9.6142063291034904E-2</v>
      </c>
    </row>
    <row r="34" spans="8:11" x14ac:dyDescent="0.25">
      <c r="H34" cm="1">
        <f t="array" ref="H34">interp_lin_range(Details!$P$3:$P$11,Details!$Q$3:$Q$11,'PDE Grid'!$H9,1)</f>
        <v>74.89587847670137</v>
      </c>
      <c r="I34" s="3">
        <f t="shared" si="8"/>
        <v>0</v>
      </c>
      <c r="J34">
        <f t="shared" si="9"/>
        <v>-5.519003981673409E-3</v>
      </c>
      <c r="K34">
        <f t="shared" si="10"/>
        <v>0.1227546566419612</v>
      </c>
    </row>
    <row r="35" spans="8:11" x14ac:dyDescent="0.25">
      <c r="H35" cm="1">
        <f t="array" ref="H35">interp_lin_range(Details!$P$3:$P$11,Details!$Q$3:$Q$11,'PDE Grid'!$H10,1)</f>
        <v>85.936888326048305</v>
      </c>
      <c r="I35" s="3">
        <f t="shared" si="8"/>
        <v>0</v>
      </c>
      <c r="J35">
        <f t="shared" si="9"/>
        <v>-7.2661459642520618E-3</v>
      </c>
      <c r="K35">
        <f t="shared" si="10"/>
        <v>0.16161489571560086</v>
      </c>
    </row>
    <row r="36" spans="8:11" x14ac:dyDescent="0.25">
      <c r="H36" cm="1">
        <f t="array" ref="H36">interp_lin_range(Details!$P$3:$P$11,Details!$Q$3:$Q$11,'PDE Grid'!$H11,1)</f>
        <v>89.702581222010764</v>
      </c>
      <c r="I36" s="3">
        <f t="shared" si="8"/>
        <v>0</v>
      </c>
      <c r="J36">
        <f t="shared" si="9"/>
        <v>-7.9168925302747079E-3</v>
      </c>
      <c r="K36">
        <f t="shared" si="10"/>
        <v>0.17608891521953757</v>
      </c>
    </row>
    <row r="37" spans="8:11" x14ac:dyDescent="0.25">
      <c r="H37" cm="1">
        <f t="array" ref="H37">interp_lin_range(Details!$P$3:$P$11,Details!$Q$3:$Q$11,'PDE Grid'!$H12,1)</f>
        <v>93.732541852518992</v>
      </c>
      <c r="I37" s="3">
        <f t="shared" si="8"/>
        <v>0</v>
      </c>
      <c r="J37">
        <f t="shared" si="9"/>
        <v>-8.644216948178015E-3</v>
      </c>
      <c r="K37">
        <f t="shared" si="10"/>
        <v>0.19226619276517967</v>
      </c>
    </row>
    <row r="38" spans="8:11" x14ac:dyDescent="0.25">
      <c r="H38" cm="1">
        <f t="array" ref="H38">interp_lin_range(Details!$P$3:$P$11,Details!$Q$3:$Q$11,'PDE Grid'!$H13,1)</f>
        <v>100.57026307002901</v>
      </c>
      <c r="I38" s="3">
        <f t="shared" si="8"/>
        <v>0</v>
      </c>
      <c r="J38">
        <f t="shared" si="9"/>
        <v>-9.951396751963857E-3</v>
      </c>
      <c r="K38">
        <f t="shared" si="10"/>
        <v>0.22134071572545919</v>
      </c>
    </row>
    <row r="39" spans="8:11" x14ac:dyDescent="0.25">
      <c r="H39" cm="1">
        <f t="array" ref="H39">interp_lin_range(Details!$P$3:$P$11,Details!$Q$3:$Q$11,'PDE Grid'!$H14,1)</f>
        <v>109.90486972040431</v>
      </c>
      <c r="I39" s="3">
        <f t="shared" si="8"/>
        <v>0</v>
      </c>
      <c r="J39">
        <f t="shared" si="9"/>
        <v>-1.1884440501752682E-2</v>
      </c>
      <c r="K39">
        <f t="shared" si="10"/>
        <v>0.26433581458155164</v>
      </c>
    </row>
    <row r="40" spans="8:11" x14ac:dyDescent="0.25">
      <c r="H40" cm="1">
        <f t="array" ref="H40">interp_lin_range(Details!$P$3:$P$11,Details!$Q$3:$Q$11,'PDE Grid'!$H15,1)</f>
        <v>120.8448834219525</v>
      </c>
      <c r="I40" s="3">
        <f t="shared" si="8"/>
        <v>0</v>
      </c>
      <c r="J40">
        <f t="shared" si="9"/>
        <v>-1.4368168197843659E-2</v>
      </c>
      <c r="K40">
        <f t="shared" si="10"/>
        <v>0.31957932256563759</v>
      </c>
    </row>
    <row r="41" spans="8:11" x14ac:dyDescent="0.25">
      <c r="H41" cm="1">
        <f t="array" ref="H41">interp_lin_range(Details!$P$3:$P$11,Details!$Q$3:$Q$11,'PDE Grid'!$H16,1)</f>
        <v>116.68330072217387</v>
      </c>
      <c r="I41" s="3">
        <f t="shared" si="8"/>
        <v>0</v>
      </c>
      <c r="J41">
        <f t="shared" si="9"/>
        <v>-1.3395603397510648E-2</v>
      </c>
      <c r="K41">
        <f t="shared" si="10"/>
        <v>0.29794736532781424</v>
      </c>
    </row>
    <row r="42" spans="8:11" x14ac:dyDescent="0.25">
      <c r="H42" cm="1">
        <f t="array" ref="H42">interp_lin_range(Details!$P$3:$P$11,Details!$Q$3:$Q$11,'PDE Grid'!$H17,1)</f>
        <v>106.51495410434617</v>
      </c>
      <c r="I42" s="3">
        <f t="shared" si="8"/>
        <v>0</v>
      </c>
      <c r="J42">
        <f t="shared" si="9"/>
        <v>-1.116261736924282E-2</v>
      </c>
      <c r="K42">
        <f t="shared" si="10"/>
        <v>0.24828089759259769</v>
      </c>
    </row>
    <row r="43" spans="8:11" x14ac:dyDescent="0.25">
      <c r="H43" cm="1">
        <f t="array" ref="H43">interp_lin_range(Details!$P$3:$P$11,Details!$Q$3:$Q$11,'PDE Grid'!$H18,1)</f>
        <v>96.751369196877462</v>
      </c>
      <c r="I43" s="3">
        <f t="shared" si="8"/>
        <v>0</v>
      </c>
      <c r="J43">
        <f t="shared" si="9"/>
        <v>-9.2099889395109852E-3</v>
      </c>
      <c r="K43">
        <f t="shared" si="10"/>
        <v>0.20485019284279138</v>
      </c>
    </row>
    <row r="44" spans="8:11" x14ac:dyDescent="0.25">
      <c r="H44" cm="1">
        <f t="array" ref="H44">interp_lin_range(Details!$P$3:$P$11,Details!$Q$3:$Q$11,'PDE Grid'!$H19,1)</f>
        <v>87.361551889199234</v>
      </c>
      <c r="I44" s="3">
        <f t="shared" si="8"/>
        <v>0</v>
      </c>
      <c r="J44">
        <f t="shared" si="9"/>
        <v>-7.5090595696785051E-3</v>
      </c>
      <c r="K44">
        <f t="shared" si="10"/>
        <v>0.16701782282469538</v>
      </c>
    </row>
    <row r="45" spans="8:11" x14ac:dyDescent="0.25">
      <c r="H45" cm="1">
        <f t="array" ref="H45">interp_lin_range(Details!$P$3:$P$11,Details!$Q$3:$Q$11,'PDE Grid'!$H20,1)</f>
        <v>78.317937185382789</v>
      </c>
      <c r="I45" s="3">
        <f t="shared" si="8"/>
        <v>0</v>
      </c>
      <c r="J45">
        <f t="shared" si="9"/>
        <v>-6.0348620809549686E-3</v>
      </c>
      <c r="K45">
        <f t="shared" si="10"/>
        <v>0.13422846315914408</v>
      </c>
    </row>
    <row r="46" spans="8:11" x14ac:dyDescent="0.25">
      <c r="H46" cm="1">
        <f t="array" ref="H46">interp_lin_range(Details!$P$3:$P$11,Details!$Q$3:$Q$11,'PDE Grid'!$H21,1)</f>
        <v>69.595901292565742</v>
      </c>
      <c r="I46" s="3">
        <f t="shared" si="8"/>
        <v>0</v>
      </c>
      <c r="J46">
        <f t="shared" si="9"/>
        <v>-4.7655408442351622E-3</v>
      </c>
      <c r="K46">
        <f t="shared" si="10"/>
        <v>0.10599599710199059</v>
      </c>
    </row>
    <row r="47" spans="8:11" x14ac:dyDescent="0.25">
      <c r="H47" cm="1">
        <f t="array" ref="H47">interp_lin_range(Details!$P$3:$P$11,Details!$Q$3:$Q$11,'PDE Grid'!$H22,1)</f>
        <v>61.173357514946098</v>
      </c>
      <c r="I47" s="3">
        <f t="shared" si="8"/>
        <v>0</v>
      </c>
      <c r="J47">
        <f t="shared" si="9"/>
        <v>-3.6818789345974975E-3</v>
      </c>
      <c r="K47">
        <f t="shared" si="10"/>
        <v>8.1892998431348341E-2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References</vt:lpstr>
      <vt:lpstr>Details</vt:lpstr>
      <vt:lpstr>PDE Grid</vt:lpstr>
    </vt:vector>
  </TitlesOfParts>
  <Company>Ambank Berhad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Chong Hong Seng</dc:creator>
  <cp:lastModifiedBy>Jeffrey Chong Hong Seng</cp:lastModifiedBy>
  <dcterms:created xsi:type="dcterms:W3CDTF">2022-12-01T01:20:34Z</dcterms:created>
  <dcterms:modified xsi:type="dcterms:W3CDTF">2022-12-02T06:36:49Z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040acaa-4003-452c-8503-ac04ffd07434_Enabled">
    <vt:lpwstr>true</vt:lpwstr>
  </property>
  <property fmtid="{D5CDD505-2E9C-101B-9397-08002B2CF9AE}" pid="3" name="MSIP_Label_e040acaa-4003-452c-8503-ac04ffd07434_SetDate">
    <vt:lpwstr>2022-12-01T01:20:34Z</vt:lpwstr>
  </property>
  <property fmtid="{D5CDD505-2E9C-101B-9397-08002B2CF9AE}" pid="4" name="MSIP_Label_e040acaa-4003-452c-8503-ac04ffd07434_Method">
    <vt:lpwstr>Standard</vt:lpwstr>
  </property>
  <property fmtid="{D5CDD505-2E9C-101B-9397-08002B2CF9AE}" pid="5" name="MSIP_Label_e040acaa-4003-452c-8503-ac04ffd07434_Name">
    <vt:lpwstr>For Internal Use_Label</vt:lpwstr>
  </property>
  <property fmtid="{D5CDD505-2E9C-101B-9397-08002B2CF9AE}" pid="6" name="MSIP_Label_e040acaa-4003-452c-8503-ac04ffd07434_SiteId">
    <vt:lpwstr>29c606c9-79fd-439f-810b-9338a4e27aa8</vt:lpwstr>
  </property>
  <property fmtid="{D5CDD505-2E9C-101B-9397-08002B2CF9AE}" pid="7" name="MSIP_Label_e040acaa-4003-452c-8503-ac04ffd07434_ActionId">
    <vt:lpwstr>6cbdf3fa-15da-4eef-8a1a-951d2ff952d7</vt:lpwstr>
  </property>
  <property fmtid="{D5CDD505-2E9C-101B-9397-08002B2CF9AE}" pid="8" name="MSIP_Label_e040acaa-4003-452c-8503-ac04ffd07434_ContentBits">
    <vt:lpwstr>7</vt:lpwstr>
  </property>
</Properties>
</file>