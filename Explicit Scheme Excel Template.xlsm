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039014B\Desktop\"/>
    </mc:Choice>
  </mc:AlternateContent>
  <xr:revisionPtr revIDLastSave="0" documentId="13_ncr:1_{A446A21C-428D-4B83-950D-274E5FFB2045}" xr6:coauthVersionLast="47" xr6:coauthVersionMax="47" xr10:uidLastSave="{00000000-0000-0000-0000-000000000000}"/>
  <bookViews>
    <workbookView xWindow="-28920" yWindow="-120" windowWidth="29040" windowHeight="15840" firstSheet="3" activeTab="3" xr2:uid="{00000000-000D-0000-FFFF-FFFF00000000}"/>
  </bookViews>
  <sheets>
    <sheet name="Implicit (2)" sheetId="9" state="hidden" r:id="rId1"/>
    <sheet name="Implicit" sheetId="3" state="hidden" r:id="rId2"/>
    <sheet name="trade" sheetId="8" state="hidden" r:id="rId3"/>
    <sheet name="Reference" sheetId="11" r:id="rId4"/>
    <sheet name="Workings" sheetId="10" r:id="rId5"/>
    <sheet name="PDE 2" sheetId="13" r:id="rId6"/>
  </sheets>
  <functionGroups builtInGroupCount="19"/>
  <definedNames>
    <definedName name="IC_Anchor">#REF!</definedName>
    <definedName name="Spot_Scale">#REF!</definedName>
    <definedName name="Time_Scale">#REF!</definedName>
    <definedName name="Time_Steps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10" l="1"/>
  <c r="B4" i="10"/>
  <c r="G2" i="13" l="1"/>
  <c r="B12" i="10"/>
  <c r="B11" i="10"/>
  <c r="E6" i="13"/>
  <c r="F6" i="13" s="1"/>
  <c r="G6" i="13" s="1"/>
  <c r="E31" i="13"/>
  <c r="W2" i="10"/>
  <c r="X2" i="10"/>
  <c r="Y2" i="10"/>
  <c r="Z2" i="10"/>
  <c r="AA2" i="10"/>
  <c r="AB2" i="10"/>
  <c r="AC2" i="10"/>
  <c r="AD2" i="10"/>
  <c r="AE2" i="10"/>
  <c r="E1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X2" i="13" s="1"/>
  <c r="Y2" i="13" s="1"/>
  <c r="Z2" i="13" s="1"/>
  <c r="AA2" i="13" s="1"/>
  <c r="AB2" i="13" s="1"/>
  <c r="AC2" i="13" s="1"/>
  <c r="AD2" i="13" s="1"/>
  <c r="AE2" i="13" s="1"/>
  <c r="AF2" i="13" s="1"/>
  <c r="AG2" i="13" s="1"/>
  <c r="AH2" i="13" s="1"/>
  <c r="AI2" i="13" s="1"/>
  <c r="AJ2" i="13" s="1"/>
  <c r="AK2" i="13" s="1"/>
  <c r="AL2" i="13" s="1"/>
  <c r="AM2" i="13" s="1"/>
  <c r="AN2" i="13" s="1"/>
  <c r="AO2" i="13" s="1"/>
  <c r="AP2" i="13" s="1"/>
  <c r="AQ2" i="13" s="1"/>
  <c r="AR2" i="13" s="1"/>
  <c r="AS2" i="13" s="1"/>
  <c r="AT2" i="13" s="1"/>
  <c r="AU2" i="13" s="1"/>
  <c r="AV2" i="13" s="1"/>
  <c r="AW2" i="13" s="1"/>
  <c r="AX2" i="13" s="1"/>
  <c r="AY2" i="13" s="1"/>
  <c r="AZ2" i="13" s="1"/>
  <c r="BA2" i="13" s="1"/>
  <c r="BB2" i="13" s="1"/>
  <c r="BC2" i="13" s="1"/>
  <c r="BD2" i="13" s="1"/>
  <c r="BE2" i="13" s="1"/>
  <c r="V2" i="10"/>
  <c r="B31" i="13" a="1"/>
  <c r="BF6" i="13" l="1"/>
  <c r="B31" i="13"/>
  <c r="E32" i="13"/>
  <c r="E7" i="13"/>
  <c r="E2" i="13" s="1"/>
  <c r="E3" i="13" s="1"/>
  <c r="F31" i="13"/>
  <c r="G31" i="13" s="1"/>
  <c r="F7" i="13"/>
  <c r="G7" i="13" s="1"/>
  <c r="B32" i="13" a="1"/>
  <c r="B32" i="13" l="1"/>
  <c r="E8" i="13"/>
  <c r="F32" i="13"/>
  <c r="G32" i="13" s="1"/>
  <c r="E33" i="13"/>
  <c r="E34" i="13"/>
  <c r="F33" i="13"/>
  <c r="B34" i="13" a="1"/>
  <c r="B33" i="13" a="1"/>
  <c r="B33" i="13" l="1"/>
  <c r="B34" i="13"/>
  <c r="E9" i="13"/>
  <c r="F8" i="13"/>
  <c r="G8" i="13" s="1"/>
  <c r="H7" i="13" s="1"/>
  <c r="G33" i="13"/>
  <c r="F34" i="13"/>
  <c r="E35" i="13"/>
  <c r="B35" i="13" a="1"/>
  <c r="B35" i="13" l="1"/>
  <c r="E10" i="13"/>
  <c r="F9" i="13"/>
  <c r="G9" i="13" s="1"/>
  <c r="H8" i="13" s="1"/>
  <c r="G34" i="13"/>
  <c r="H32" i="13"/>
  <c r="F35" i="13"/>
  <c r="E36" i="13"/>
  <c r="B36" i="13" a="1"/>
  <c r="B36" i="13" l="1"/>
  <c r="F10" i="13"/>
  <c r="G10" i="13" s="1"/>
  <c r="H9" i="13" s="1"/>
  <c r="I8" i="13" s="1"/>
  <c r="E11" i="13"/>
  <c r="G35" i="13"/>
  <c r="H33" i="13"/>
  <c r="I7" i="13"/>
  <c r="E37" i="13"/>
  <c r="F36" i="13"/>
  <c r="B37" i="13" a="1"/>
  <c r="B37" i="13" l="1"/>
  <c r="F11" i="13"/>
  <c r="G11" i="13" s="1"/>
  <c r="E12" i="13"/>
  <c r="G36" i="13"/>
  <c r="J7" i="13"/>
  <c r="H34" i="13"/>
  <c r="E38" i="13"/>
  <c r="F37" i="13"/>
  <c r="B38" i="13" a="1"/>
  <c r="B38" i="13" l="1"/>
  <c r="E13" i="13"/>
  <c r="F12" i="13"/>
  <c r="G12" i="13" s="1"/>
  <c r="H10" i="13"/>
  <c r="H11" i="13"/>
  <c r="I33" i="13"/>
  <c r="G37" i="13"/>
  <c r="H35" i="13"/>
  <c r="I34" i="13" s="1"/>
  <c r="E39" i="13"/>
  <c r="F38" i="13"/>
  <c r="B39" i="13" a="1"/>
  <c r="B39" i="13" l="1"/>
  <c r="I9" i="13"/>
  <c r="I10" i="13"/>
  <c r="E14" i="13"/>
  <c r="F13" i="13"/>
  <c r="G13" i="13" s="1"/>
  <c r="H12" i="13" s="1"/>
  <c r="H36" i="13"/>
  <c r="G38" i="13"/>
  <c r="H37" i="13" s="1"/>
  <c r="E40" i="13"/>
  <c r="F39" i="13"/>
  <c r="B40" i="13" a="1"/>
  <c r="B40" i="13" l="1"/>
  <c r="E15" i="13"/>
  <c r="F14" i="13"/>
  <c r="G14" i="13" s="1"/>
  <c r="H13" i="13" s="1"/>
  <c r="J8" i="13"/>
  <c r="J9" i="13"/>
  <c r="I11" i="13"/>
  <c r="G39" i="13"/>
  <c r="I36" i="13"/>
  <c r="I35" i="13"/>
  <c r="E41" i="13"/>
  <c r="F40" i="13"/>
  <c r="B41" i="13" a="1"/>
  <c r="B41" i="13" l="1"/>
  <c r="I12" i="13"/>
  <c r="F15" i="13"/>
  <c r="G15" i="13" s="1"/>
  <c r="H14" i="13" s="1"/>
  <c r="E16" i="13"/>
  <c r="K7" i="13"/>
  <c r="K8" i="13"/>
  <c r="J10" i="13"/>
  <c r="K9" i="13" s="1"/>
  <c r="J11" i="13"/>
  <c r="J35" i="13"/>
  <c r="J34" i="13"/>
  <c r="G40" i="13"/>
  <c r="H38" i="13"/>
  <c r="E42" i="13"/>
  <c r="F41" i="13"/>
  <c r="B42" i="13" a="1"/>
  <c r="K10" i="13" l="1"/>
  <c r="B42" i="13"/>
  <c r="I13" i="13"/>
  <c r="J12" i="13" s="1"/>
  <c r="K11" i="13" s="1"/>
  <c r="L8" i="13"/>
  <c r="L7" i="13"/>
  <c r="F16" i="13"/>
  <c r="G16" i="13" s="1"/>
  <c r="H15" i="13" s="1"/>
  <c r="E17" i="13"/>
  <c r="L9" i="13"/>
  <c r="G41" i="13"/>
  <c r="H40" i="13" s="1"/>
  <c r="I37" i="13"/>
  <c r="H39" i="13"/>
  <c r="I38" i="13" s="1"/>
  <c r="E43" i="13"/>
  <c r="F42" i="13"/>
  <c r="B43" i="13" a="1"/>
  <c r="B43" i="13" l="1"/>
  <c r="I14" i="13"/>
  <c r="J13" i="13" s="1"/>
  <c r="K12" i="13" s="1"/>
  <c r="M7" i="13"/>
  <c r="M8" i="13"/>
  <c r="E18" i="13"/>
  <c r="F17" i="13"/>
  <c r="G17" i="13" s="1"/>
  <c r="G42" i="13"/>
  <c r="I39" i="13"/>
  <c r="J38" i="13" s="1"/>
  <c r="J37" i="13"/>
  <c r="J36" i="13"/>
  <c r="L10" i="13"/>
  <c r="F43" i="13"/>
  <c r="E44" i="13"/>
  <c r="B44" i="13" a="1"/>
  <c r="N7" i="13" l="1"/>
  <c r="B44" i="13"/>
  <c r="L11" i="13"/>
  <c r="H16" i="13"/>
  <c r="E19" i="13"/>
  <c r="F18" i="13"/>
  <c r="G18" i="13" s="1"/>
  <c r="M10" i="13"/>
  <c r="M9" i="13"/>
  <c r="G43" i="13"/>
  <c r="H42" i="13" s="1"/>
  <c r="H41" i="13"/>
  <c r="K37" i="13"/>
  <c r="K36" i="13"/>
  <c r="K35" i="13"/>
  <c r="E45" i="13"/>
  <c r="F44" i="13"/>
  <c r="B45" i="13" a="1"/>
  <c r="B45" i="13" l="1"/>
  <c r="H17" i="13"/>
  <c r="I16" i="13" s="1"/>
  <c r="I15" i="13"/>
  <c r="E20" i="13"/>
  <c r="F19" i="13"/>
  <c r="G19" i="13" s="1"/>
  <c r="L36" i="13"/>
  <c r="G44" i="13"/>
  <c r="I40" i="13"/>
  <c r="I41" i="13"/>
  <c r="N9" i="13"/>
  <c r="N8" i="13"/>
  <c r="E46" i="13"/>
  <c r="F45" i="13"/>
  <c r="B46" i="13" a="1"/>
  <c r="B46" i="13" l="1"/>
  <c r="J14" i="13"/>
  <c r="J15" i="13"/>
  <c r="F20" i="13"/>
  <c r="G20" i="13" s="1"/>
  <c r="E21" i="13"/>
  <c r="H18" i="13"/>
  <c r="H43" i="13"/>
  <c r="J40" i="13"/>
  <c r="J39" i="13"/>
  <c r="O7" i="13"/>
  <c r="O8" i="13"/>
  <c r="G45" i="13"/>
  <c r="E47" i="13"/>
  <c r="F46" i="13"/>
  <c r="B47" i="13" a="1"/>
  <c r="B47" i="13" l="1"/>
  <c r="K13" i="13"/>
  <c r="K14" i="13"/>
  <c r="I17" i="13"/>
  <c r="H19" i="13"/>
  <c r="E22" i="13"/>
  <c r="F21" i="13"/>
  <c r="G21" i="13" s="1"/>
  <c r="K39" i="13"/>
  <c r="K38" i="13"/>
  <c r="I42" i="13"/>
  <c r="G46" i="13"/>
  <c r="P7" i="13"/>
  <c r="H44" i="13"/>
  <c r="E48" i="13"/>
  <c r="F47" i="13"/>
  <c r="B48" i="13" a="1"/>
  <c r="B48" i="13" l="1"/>
  <c r="L12" i="13"/>
  <c r="L13" i="13"/>
  <c r="J16" i="13"/>
  <c r="E23" i="13"/>
  <c r="F22" i="13"/>
  <c r="G22" i="13" s="1"/>
  <c r="H20" i="13"/>
  <c r="I18" i="13"/>
  <c r="L38" i="13"/>
  <c r="L37" i="13"/>
  <c r="H45" i="13"/>
  <c r="J41" i="13"/>
  <c r="G47" i="13"/>
  <c r="I43" i="13"/>
  <c r="J42" i="13" s="1"/>
  <c r="E49" i="13"/>
  <c r="F48" i="13"/>
  <c r="B49" i="13" a="1"/>
  <c r="B49" i="13" l="1"/>
  <c r="E24" i="13"/>
  <c r="F23" i="13"/>
  <c r="G23" i="13" s="1"/>
  <c r="H22" i="13" s="1"/>
  <c r="M11" i="13"/>
  <c r="M12" i="13"/>
  <c r="K15" i="13"/>
  <c r="I19" i="13"/>
  <c r="J18" i="13" s="1"/>
  <c r="H21" i="13"/>
  <c r="I20" i="13" s="1"/>
  <c r="J19" i="13" s="1"/>
  <c r="J17" i="13"/>
  <c r="H46" i="13"/>
  <c r="G48" i="13"/>
  <c r="I44" i="13"/>
  <c r="M37" i="13"/>
  <c r="K40" i="13"/>
  <c r="K41" i="13"/>
  <c r="E50" i="13"/>
  <c r="F49" i="13"/>
  <c r="B24" i="13" a="1"/>
  <c r="B50" i="13" a="1"/>
  <c r="B50" i="13" l="1"/>
  <c r="B24" i="13"/>
  <c r="J20" i="13"/>
  <c r="I21" i="13"/>
  <c r="N10" i="13"/>
  <c r="N11" i="13"/>
  <c r="L14" i="13"/>
  <c r="H23" i="13"/>
  <c r="K17" i="13"/>
  <c r="K18" i="13"/>
  <c r="K16" i="13"/>
  <c r="E25" i="13"/>
  <c r="F24" i="13"/>
  <c r="G24" i="13" s="1"/>
  <c r="K19" i="13"/>
  <c r="J43" i="13"/>
  <c r="L39" i="13"/>
  <c r="L40" i="13"/>
  <c r="G49" i="13"/>
  <c r="H47" i="13"/>
  <c r="I45" i="13"/>
  <c r="E51" i="13"/>
  <c r="F50" i="13"/>
  <c r="B25" i="13" a="1"/>
  <c r="B51" i="13" a="1"/>
  <c r="L17" i="13" l="1"/>
  <c r="L16" i="13"/>
  <c r="B51" i="13"/>
  <c r="B25" i="13"/>
  <c r="E26" i="13"/>
  <c r="F25" i="13"/>
  <c r="G25" i="13" s="1"/>
  <c r="H24" i="13" s="1"/>
  <c r="I23" i="13" s="1"/>
  <c r="I22" i="13"/>
  <c r="J21" i="13" s="1"/>
  <c r="K20" i="13" s="1"/>
  <c r="O9" i="13"/>
  <c r="O10" i="13"/>
  <c r="M13" i="13"/>
  <c r="L15" i="13"/>
  <c r="M16" i="13" s="1"/>
  <c r="G50" i="13"/>
  <c r="H49" i="13" s="1"/>
  <c r="K42" i="13"/>
  <c r="L19" i="13"/>
  <c r="L18" i="13"/>
  <c r="I46" i="13"/>
  <c r="J44" i="13"/>
  <c r="K43" i="13" s="1"/>
  <c r="H48" i="13"/>
  <c r="M38" i="13"/>
  <c r="M39" i="13"/>
  <c r="E52" i="13"/>
  <c r="F51" i="13"/>
  <c r="B52" i="13" a="1"/>
  <c r="B26" i="13" a="1"/>
  <c r="B26" i="13" l="1"/>
  <c r="B52" i="13"/>
  <c r="J22" i="13"/>
  <c r="F26" i="13"/>
  <c r="G26" i="13" s="1"/>
  <c r="E27" i="13"/>
  <c r="M15" i="13"/>
  <c r="P8" i="13"/>
  <c r="P9" i="13"/>
  <c r="N12" i="13"/>
  <c r="N13" i="13"/>
  <c r="M14" i="13"/>
  <c r="H25" i="13"/>
  <c r="I24" i="13" s="1"/>
  <c r="J23" i="13" s="1"/>
  <c r="I48" i="13"/>
  <c r="G51" i="13"/>
  <c r="M17" i="13"/>
  <c r="M18" i="13"/>
  <c r="N38" i="13"/>
  <c r="I47" i="13"/>
  <c r="J47" i="13" s="1"/>
  <c r="L41" i="13"/>
  <c r="L42" i="13"/>
  <c r="J45" i="13"/>
  <c r="E53" i="13"/>
  <c r="F52" i="13"/>
  <c r="B53" i="13" a="1"/>
  <c r="B27" i="13" a="1"/>
  <c r="B27" i="13" l="1"/>
  <c r="B53" i="13"/>
  <c r="K22" i="13"/>
  <c r="O12" i="13"/>
  <c r="O11" i="13"/>
  <c r="E28" i="13"/>
  <c r="F27" i="13"/>
  <c r="G27" i="13" s="1"/>
  <c r="H26" i="13" s="1"/>
  <c r="K21" i="13"/>
  <c r="L20" i="13" s="1"/>
  <c r="N15" i="13"/>
  <c r="O14" i="13" s="1"/>
  <c r="P13" i="13" s="1"/>
  <c r="N14" i="13"/>
  <c r="O13" i="13" s="1"/>
  <c r="Q7" i="13"/>
  <c r="Q8" i="13"/>
  <c r="M40" i="13"/>
  <c r="M41" i="13"/>
  <c r="N16" i="13"/>
  <c r="N17" i="13"/>
  <c r="K44" i="13"/>
  <c r="J46" i="13"/>
  <c r="K46" i="13" s="1"/>
  <c r="G52" i="13"/>
  <c r="H50" i="13"/>
  <c r="L21" i="13"/>
  <c r="E54" i="13"/>
  <c r="F53" i="13"/>
  <c r="B28" i="13" a="1"/>
  <c r="B54" i="13" a="1"/>
  <c r="B54" i="13" l="1"/>
  <c r="B28" i="13"/>
  <c r="I25" i="13"/>
  <c r="J24" i="13" s="1"/>
  <c r="P12" i="13"/>
  <c r="P10" i="13"/>
  <c r="P11" i="13"/>
  <c r="R7" i="13"/>
  <c r="E29" i="13"/>
  <c r="F28" i="13"/>
  <c r="G28" i="13" s="1"/>
  <c r="N40" i="13"/>
  <c r="N39" i="13"/>
  <c r="G53" i="13"/>
  <c r="H52" i="13" s="1"/>
  <c r="M20" i="13"/>
  <c r="M19" i="13"/>
  <c r="L43" i="13"/>
  <c r="O16" i="13"/>
  <c r="O15" i="13"/>
  <c r="H51" i="13"/>
  <c r="I50" i="13" s="1"/>
  <c r="K45" i="13"/>
  <c r="I49" i="13"/>
  <c r="E55" i="13"/>
  <c r="F54" i="13"/>
  <c r="B29" i="13" a="1"/>
  <c r="B55" i="13" a="1"/>
  <c r="B55" i="13" l="1"/>
  <c r="B29" i="13"/>
  <c r="E30" i="13"/>
  <c r="F29" i="13"/>
  <c r="G29" i="13" s="1"/>
  <c r="Q12" i="13"/>
  <c r="K23" i="13"/>
  <c r="L22" i="13" s="1"/>
  <c r="H27" i="13"/>
  <c r="Q9" i="13"/>
  <c r="Q11" i="13"/>
  <c r="Q10" i="13"/>
  <c r="I51" i="13"/>
  <c r="J50" i="13" s="1"/>
  <c r="L44" i="13"/>
  <c r="M43" i="13" s="1"/>
  <c r="G54" i="13"/>
  <c r="L45" i="13"/>
  <c r="M42" i="13"/>
  <c r="O39" i="13"/>
  <c r="N19" i="13"/>
  <c r="N18" i="13"/>
  <c r="J48" i="13"/>
  <c r="J49" i="13"/>
  <c r="P15" i="13"/>
  <c r="P14" i="13"/>
  <c r="E56" i="13"/>
  <c r="F55" i="13"/>
  <c r="B56" i="13" a="1"/>
  <c r="B30" i="13" a="1"/>
  <c r="B30" i="13" l="1"/>
  <c r="B56" i="13"/>
  <c r="R9" i="13"/>
  <c r="R8" i="13"/>
  <c r="R10" i="13"/>
  <c r="I26" i="13"/>
  <c r="F30" i="13"/>
  <c r="G30" i="13" s="1"/>
  <c r="H31" i="13" s="1"/>
  <c r="I32" i="13" s="1"/>
  <c r="J33" i="13" s="1"/>
  <c r="K34" i="13" s="1"/>
  <c r="L35" i="13" s="1"/>
  <c r="M36" i="13" s="1"/>
  <c r="N37" i="13" s="1"/>
  <c r="O38" i="13" s="1"/>
  <c r="H28" i="13"/>
  <c r="R11" i="13"/>
  <c r="M21" i="13"/>
  <c r="F56" i="13"/>
  <c r="G56" i="13" s="1"/>
  <c r="H56" i="13" s="1"/>
  <c r="I56" i="13" s="1"/>
  <c r="J56" i="13" s="1"/>
  <c r="K56" i="13" s="1"/>
  <c r="L56" i="13" s="1"/>
  <c r="M56" i="13" s="1"/>
  <c r="N56" i="13" s="1"/>
  <c r="O56" i="13" s="1"/>
  <c r="P56" i="13" s="1"/>
  <c r="Q56" i="13" s="1"/>
  <c r="R56" i="13" s="1"/>
  <c r="S56" i="13" s="1"/>
  <c r="T56" i="13" s="1"/>
  <c r="U56" i="13" s="1"/>
  <c r="V56" i="13" s="1"/>
  <c r="W56" i="13" s="1"/>
  <c r="X56" i="13" s="1"/>
  <c r="Y56" i="13" s="1"/>
  <c r="Z56" i="13" s="1"/>
  <c r="AA56" i="13" s="1"/>
  <c r="AB56" i="13" s="1"/>
  <c r="AC56" i="13" s="1"/>
  <c r="AD56" i="13" s="1"/>
  <c r="AE56" i="13" s="1"/>
  <c r="AF56" i="13" s="1"/>
  <c r="AG56" i="13" s="1"/>
  <c r="AH56" i="13" s="1"/>
  <c r="AI56" i="13" s="1"/>
  <c r="AJ56" i="13" s="1"/>
  <c r="AK56" i="13" s="1"/>
  <c r="AL56" i="13" s="1"/>
  <c r="AM56" i="13" s="1"/>
  <c r="AN56" i="13" s="1"/>
  <c r="AO56" i="13" s="1"/>
  <c r="AP56" i="13" s="1"/>
  <c r="AQ56" i="13" s="1"/>
  <c r="AR56" i="13" s="1"/>
  <c r="AS56" i="13" s="1"/>
  <c r="AT56" i="13" s="1"/>
  <c r="AU56" i="13" s="1"/>
  <c r="AV56" i="13" s="1"/>
  <c r="AW56" i="13" s="1"/>
  <c r="AX56" i="13" s="1"/>
  <c r="AY56" i="13" s="1"/>
  <c r="AZ56" i="13" s="1"/>
  <c r="BA56" i="13" s="1"/>
  <c r="BB56" i="13" s="1"/>
  <c r="BC56" i="13" s="1"/>
  <c r="BD56" i="13" s="1"/>
  <c r="BE56" i="13" s="1"/>
  <c r="BF56" i="13" s="1"/>
  <c r="C56" i="13" s="1"/>
  <c r="M44" i="13"/>
  <c r="N43" i="13" s="1"/>
  <c r="G55" i="13"/>
  <c r="H54" i="13" s="1"/>
  <c r="K49" i="13"/>
  <c r="K48" i="13"/>
  <c r="K47" i="13"/>
  <c r="H53" i="13"/>
  <c r="O18" i="13"/>
  <c r="Q13" i="13"/>
  <c r="Q14" i="13"/>
  <c r="O17" i="13"/>
  <c r="N41" i="13"/>
  <c r="N42" i="13"/>
  <c r="S10" i="13" l="1"/>
  <c r="H30" i="13"/>
  <c r="I31" i="13" s="1"/>
  <c r="J32" i="13" s="1"/>
  <c r="K33" i="13" s="1"/>
  <c r="L34" i="13" s="1"/>
  <c r="M35" i="13" s="1"/>
  <c r="N36" i="13" s="1"/>
  <c r="O37" i="13" s="1"/>
  <c r="P38" i="13" s="1"/>
  <c r="S8" i="13"/>
  <c r="S7" i="13"/>
  <c r="S9" i="13"/>
  <c r="H29" i="13"/>
  <c r="N20" i="13"/>
  <c r="J25" i="13"/>
  <c r="A56" i="13"/>
  <c r="I27" i="13"/>
  <c r="J26" i="13" s="1"/>
  <c r="H55" i="13"/>
  <c r="I55" i="13" s="1"/>
  <c r="P16" i="13"/>
  <c r="P17" i="13"/>
  <c r="O42" i="13"/>
  <c r="O40" i="13"/>
  <c r="O41" i="13"/>
  <c r="R12" i="13"/>
  <c r="R13" i="13"/>
  <c r="I53" i="13"/>
  <c r="I52" i="13"/>
  <c r="L48" i="13"/>
  <c r="L47" i="13"/>
  <c r="L46" i="13"/>
  <c r="I30" i="13" l="1"/>
  <c r="J31" i="13" s="1"/>
  <c r="K32" i="13" s="1"/>
  <c r="L33" i="13" s="1"/>
  <c r="M34" i="13" s="1"/>
  <c r="N35" i="13" s="1"/>
  <c r="O36" i="13" s="1"/>
  <c r="P37" i="13" s="1"/>
  <c r="I28" i="13"/>
  <c r="J28" i="13" s="1"/>
  <c r="T8" i="13"/>
  <c r="T7" i="13"/>
  <c r="K24" i="13"/>
  <c r="K25" i="13"/>
  <c r="O19" i="13"/>
  <c r="T9" i="13"/>
  <c r="I29" i="13"/>
  <c r="J30" i="13" s="1"/>
  <c r="K31" i="13" s="1"/>
  <c r="L32" i="13" s="1"/>
  <c r="M33" i="13" s="1"/>
  <c r="N34" i="13" s="1"/>
  <c r="O35" i="13" s="1"/>
  <c r="P36" i="13" s="1"/>
  <c r="Q37" i="13" s="1"/>
  <c r="I54" i="13"/>
  <c r="J53" i="13" s="1"/>
  <c r="J55" i="13"/>
  <c r="P41" i="13"/>
  <c r="P40" i="13"/>
  <c r="P39" i="13"/>
  <c r="M47" i="13"/>
  <c r="M45" i="13"/>
  <c r="M46" i="13"/>
  <c r="S12" i="13"/>
  <c r="S11" i="13"/>
  <c r="J51" i="13"/>
  <c r="J52" i="13"/>
  <c r="J54" i="13"/>
  <c r="Q15" i="13"/>
  <c r="Q16" i="13"/>
  <c r="L23" i="13" l="1"/>
  <c r="L24" i="13"/>
  <c r="U7" i="13"/>
  <c r="U8" i="13"/>
  <c r="P18" i="13"/>
  <c r="J29" i="13"/>
  <c r="K30" i="13" s="1"/>
  <c r="L31" i="13" s="1"/>
  <c r="M32" i="13" s="1"/>
  <c r="N33" i="13" s="1"/>
  <c r="O34" i="13" s="1"/>
  <c r="P35" i="13" s="1"/>
  <c r="Q36" i="13" s="1"/>
  <c r="J27" i="13"/>
  <c r="K54" i="13"/>
  <c r="K55" i="13"/>
  <c r="K53" i="13"/>
  <c r="R14" i="13"/>
  <c r="R15" i="13"/>
  <c r="N46" i="13"/>
  <c r="N45" i="13"/>
  <c r="N44" i="13"/>
  <c r="T11" i="13"/>
  <c r="T10" i="13"/>
  <c r="Q40" i="13"/>
  <c r="Q39" i="13"/>
  <c r="Q38" i="13"/>
  <c r="K52" i="13"/>
  <c r="K50" i="13"/>
  <c r="K51" i="13"/>
  <c r="K29" i="13" l="1"/>
  <c r="L30" i="13" s="1"/>
  <c r="M31" i="13" s="1"/>
  <c r="N32" i="13" s="1"/>
  <c r="O33" i="13" s="1"/>
  <c r="P34" i="13" s="1"/>
  <c r="Q35" i="13" s="1"/>
  <c r="R36" i="13" s="1"/>
  <c r="V7" i="13"/>
  <c r="K28" i="13"/>
  <c r="L29" i="13" s="1"/>
  <c r="M30" i="13" s="1"/>
  <c r="N31" i="13" s="1"/>
  <c r="O32" i="13" s="1"/>
  <c r="P33" i="13" s="1"/>
  <c r="Q34" i="13" s="1"/>
  <c r="R35" i="13" s="1"/>
  <c r="K27" i="13"/>
  <c r="K26" i="13"/>
  <c r="Q17" i="13"/>
  <c r="M22" i="13"/>
  <c r="M23" i="13"/>
  <c r="L53" i="13"/>
  <c r="L54" i="13"/>
  <c r="L55" i="13"/>
  <c r="R39" i="13"/>
  <c r="R37" i="13"/>
  <c r="R38" i="13"/>
  <c r="U10" i="13"/>
  <c r="U9" i="13"/>
  <c r="S14" i="13"/>
  <c r="S13" i="13"/>
  <c r="L52" i="13"/>
  <c r="O45" i="13"/>
  <c r="O43" i="13"/>
  <c r="O44" i="13"/>
  <c r="L51" i="13"/>
  <c r="L50" i="13"/>
  <c r="L49" i="13"/>
  <c r="L28" i="13" l="1"/>
  <c r="M29" i="13" s="1"/>
  <c r="N30" i="13" s="1"/>
  <c r="O31" i="13" s="1"/>
  <c r="P32" i="13" s="1"/>
  <c r="Q33" i="13" s="1"/>
  <c r="R34" i="13" s="1"/>
  <c r="S35" i="13" s="1"/>
  <c r="R16" i="13"/>
  <c r="L27" i="13"/>
  <c r="M28" i="13" s="1"/>
  <c r="N29" i="13" s="1"/>
  <c r="O30" i="13" s="1"/>
  <c r="P31" i="13" s="1"/>
  <c r="Q32" i="13" s="1"/>
  <c r="R33" i="13" s="1"/>
  <c r="S34" i="13" s="1"/>
  <c r="L26" i="13"/>
  <c r="L25" i="13"/>
  <c r="N21" i="13"/>
  <c r="N22" i="13"/>
  <c r="M53" i="13"/>
  <c r="M55" i="13"/>
  <c r="M54" i="13"/>
  <c r="T12" i="13"/>
  <c r="T13" i="13"/>
  <c r="M50" i="13"/>
  <c r="M48" i="13"/>
  <c r="M49" i="13"/>
  <c r="P44" i="13"/>
  <c r="P43" i="13"/>
  <c r="P42" i="13"/>
  <c r="S38" i="13"/>
  <c r="S36" i="13"/>
  <c r="S37" i="13"/>
  <c r="M51" i="13"/>
  <c r="M52" i="13"/>
  <c r="V8" i="13"/>
  <c r="V9" i="13"/>
  <c r="M27" i="13" l="1"/>
  <c r="N28" i="13" s="1"/>
  <c r="O29" i="13" s="1"/>
  <c r="P30" i="13" s="1"/>
  <c r="Q31" i="13" s="1"/>
  <c r="R32" i="13" s="1"/>
  <c r="S33" i="13" s="1"/>
  <c r="T34" i="13" s="1"/>
  <c r="M26" i="13"/>
  <c r="N27" i="13" s="1"/>
  <c r="O28" i="13" s="1"/>
  <c r="P29" i="13" s="1"/>
  <c r="M25" i="13"/>
  <c r="M24" i="13"/>
  <c r="O20" i="13"/>
  <c r="O21" i="13"/>
  <c r="S15" i="13"/>
  <c r="Q30" i="13"/>
  <c r="R31" i="13" s="1"/>
  <c r="S32" i="13" s="1"/>
  <c r="T33" i="13" s="1"/>
  <c r="N53" i="13"/>
  <c r="N55" i="13"/>
  <c r="N54" i="13"/>
  <c r="N51" i="13"/>
  <c r="N52" i="13"/>
  <c r="Q43" i="13"/>
  <c r="Q42" i="13"/>
  <c r="Q41" i="13"/>
  <c r="W7" i="13"/>
  <c r="W8" i="13"/>
  <c r="U11" i="13"/>
  <c r="U12" i="13"/>
  <c r="N49" i="13"/>
  <c r="N47" i="13"/>
  <c r="N48" i="13"/>
  <c r="T37" i="13"/>
  <c r="T35" i="13"/>
  <c r="T36" i="13"/>
  <c r="N50" i="13"/>
  <c r="N26" i="13" l="1"/>
  <c r="O27" i="13" s="1"/>
  <c r="P28" i="13" s="1"/>
  <c r="Q29" i="13" s="1"/>
  <c r="N25" i="13"/>
  <c r="O26" i="13" s="1"/>
  <c r="P27" i="13" s="1"/>
  <c r="Q28" i="13" s="1"/>
  <c r="N23" i="13"/>
  <c r="N24" i="13"/>
  <c r="T14" i="13"/>
  <c r="P19" i="13"/>
  <c r="P20" i="13"/>
  <c r="R29" i="13"/>
  <c r="R30" i="13"/>
  <c r="S31" i="13" s="1"/>
  <c r="T32" i="13" s="1"/>
  <c r="U33" i="13" s="1"/>
  <c r="O55" i="13"/>
  <c r="O53" i="13"/>
  <c r="O51" i="13"/>
  <c r="O54" i="13"/>
  <c r="V10" i="13"/>
  <c r="V11" i="13"/>
  <c r="O49" i="13"/>
  <c r="O48" i="13"/>
  <c r="O46" i="13"/>
  <c r="O47" i="13"/>
  <c r="X7" i="13"/>
  <c r="U36" i="13"/>
  <c r="U35" i="13"/>
  <c r="U34" i="13"/>
  <c r="O50" i="13"/>
  <c r="O52" i="13"/>
  <c r="R42" i="13"/>
  <c r="R40" i="13"/>
  <c r="R41" i="13"/>
  <c r="O25" i="13" l="1"/>
  <c r="P26" i="13" s="1"/>
  <c r="Q27" i="13" s="1"/>
  <c r="R28" i="13" s="1"/>
  <c r="S29" i="13" s="1"/>
  <c r="U13" i="13"/>
  <c r="O24" i="13"/>
  <c r="P25" i="13" s="1"/>
  <c r="Q26" i="13" s="1"/>
  <c r="R27" i="13" s="1"/>
  <c r="S28" i="13" s="1"/>
  <c r="O23" i="13"/>
  <c r="P24" i="13" s="1"/>
  <c r="O22" i="13"/>
  <c r="Q18" i="13"/>
  <c r="Q19" i="13"/>
  <c r="S30" i="13"/>
  <c r="T31" i="13" s="1"/>
  <c r="U32" i="13" s="1"/>
  <c r="V33" i="13" s="1"/>
  <c r="P55" i="13"/>
  <c r="P53" i="13"/>
  <c r="P54" i="13"/>
  <c r="Q55" i="13" s="1"/>
  <c r="P52" i="13"/>
  <c r="P51" i="13"/>
  <c r="P50" i="13"/>
  <c r="S41" i="13"/>
  <c r="S40" i="13"/>
  <c r="S39" i="13"/>
  <c r="P48" i="13"/>
  <c r="V35" i="13"/>
  <c r="V34" i="13"/>
  <c r="P47" i="13"/>
  <c r="P45" i="13"/>
  <c r="P46" i="13"/>
  <c r="W9" i="13"/>
  <c r="W10" i="13"/>
  <c r="P49" i="13"/>
  <c r="Q25" i="13" l="1"/>
  <c r="R26" i="13" s="1"/>
  <c r="S27" i="13" s="1"/>
  <c r="T28" i="13" s="1"/>
  <c r="T29" i="13"/>
  <c r="P23" i="13"/>
  <c r="Q24" i="13" s="1"/>
  <c r="R25" i="13" s="1"/>
  <c r="S26" i="13" s="1"/>
  <c r="T27" i="13" s="1"/>
  <c r="P22" i="13"/>
  <c r="P21" i="13"/>
  <c r="V12" i="13"/>
  <c r="R17" i="13"/>
  <c r="R18" i="13"/>
  <c r="T30" i="13"/>
  <c r="Q53" i="13"/>
  <c r="Q52" i="13"/>
  <c r="Q50" i="13"/>
  <c r="Q54" i="13"/>
  <c r="R55" i="13" s="1"/>
  <c r="Q47" i="13"/>
  <c r="Q51" i="13"/>
  <c r="Q46" i="13"/>
  <c r="Q44" i="13"/>
  <c r="Q45" i="13"/>
  <c r="Q48" i="13"/>
  <c r="T40" i="13"/>
  <c r="T38" i="13"/>
  <c r="T39" i="13"/>
  <c r="X8" i="13"/>
  <c r="X9" i="13"/>
  <c r="W34" i="13"/>
  <c r="Q49" i="13"/>
  <c r="Q23" i="13" l="1"/>
  <c r="R24" i="13" s="1"/>
  <c r="S25" i="13" s="1"/>
  <c r="T26" i="13" s="1"/>
  <c r="U28" i="13"/>
  <c r="Q22" i="13"/>
  <c r="R23" i="13" s="1"/>
  <c r="S24" i="13" s="1"/>
  <c r="T25" i="13" s="1"/>
  <c r="U26" i="13" s="1"/>
  <c r="Q20" i="13"/>
  <c r="Q21" i="13"/>
  <c r="R22" i="13" s="1"/>
  <c r="S23" i="13" s="1"/>
  <c r="T24" i="13" s="1"/>
  <c r="U25" i="13" s="1"/>
  <c r="S16" i="13"/>
  <c r="S17" i="13"/>
  <c r="W11" i="13"/>
  <c r="U31" i="13"/>
  <c r="V32" i="13" s="1"/>
  <c r="W33" i="13" s="1"/>
  <c r="U30" i="13"/>
  <c r="U29" i="13"/>
  <c r="U27" i="13"/>
  <c r="R52" i="13"/>
  <c r="R50" i="13"/>
  <c r="R47" i="13"/>
  <c r="R54" i="13"/>
  <c r="S55" i="13" s="1"/>
  <c r="R53" i="13"/>
  <c r="R51" i="13"/>
  <c r="R46" i="13"/>
  <c r="Y8" i="13"/>
  <c r="Y7" i="13"/>
  <c r="R48" i="13"/>
  <c r="R45" i="13"/>
  <c r="R43" i="13"/>
  <c r="R44" i="13"/>
  <c r="R49" i="13"/>
  <c r="U39" i="13"/>
  <c r="U37" i="13"/>
  <c r="U38" i="13"/>
  <c r="V31" i="13" l="1"/>
  <c r="W32" i="13" s="1"/>
  <c r="X33" i="13" s="1"/>
  <c r="V30" i="13"/>
  <c r="W31" i="13" s="1"/>
  <c r="X32" i="13" s="1"/>
  <c r="T15" i="13"/>
  <c r="T16" i="13"/>
  <c r="X10" i="13"/>
  <c r="R21" i="13"/>
  <c r="S22" i="13" s="1"/>
  <c r="T23" i="13" s="1"/>
  <c r="U24" i="13" s="1"/>
  <c r="V25" i="13" s="1"/>
  <c r="R19" i="13"/>
  <c r="R20" i="13"/>
  <c r="S21" i="13" s="1"/>
  <c r="T22" i="13" s="1"/>
  <c r="U23" i="13" s="1"/>
  <c r="V24" i="13" s="1"/>
  <c r="V28" i="13"/>
  <c r="V29" i="13"/>
  <c r="V26" i="13"/>
  <c r="S50" i="13"/>
  <c r="V27" i="13"/>
  <c r="W28" i="13" s="1"/>
  <c r="S54" i="13"/>
  <c r="T55" i="13" s="1"/>
  <c r="S52" i="13"/>
  <c r="S53" i="13"/>
  <c r="S46" i="13"/>
  <c r="S47" i="13"/>
  <c r="S51" i="13"/>
  <c r="S45" i="13"/>
  <c r="S48" i="13"/>
  <c r="S49" i="13"/>
  <c r="Z7" i="13"/>
  <c r="S44" i="13"/>
  <c r="S43" i="13"/>
  <c r="S42" i="13"/>
  <c r="V38" i="13"/>
  <c r="V37" i="13"/>
  <c r="V36" i="13"/>
  <c r="W30" i="13" l="1"/>
  <c r="X31" i="13" s="1"/>
  <c r="Y9" i="13"/>
  <c r="S20" i="13"/>
  <c r="T21" i="13" s="1"/>
  <c r="U22" i="13" s="1"/>
  <c r="V23" i="13" s="1"/>
  <c r="W24" i="13" s="1"/>
  <c r="S19" i="13"/>
  <c r="S18" i="13"/>
  <c r="U14" i="13"/>
  <c r="U15" i="13"/>
  <c r="Y32" i="13"/>
  <c r="W29" i="13"/>
  <c r="X30" i="13" s="1"/>
  <c r="Y31" i="13" s="1"/>
  <c r="W26" i="13"/>
  <c r="T50" i="13"/>
  <c r="T47" i="13"/>
  <c r="W27" i="13"/>
  <c r="W25" i="13"/>
  <c r="T54" i="13"/>
  <c r="U55" i="13" s="1"/>
  <c r="T45" i="13"/>
  <c r="T52" i="13"/>
  <c r="T44" i="13"/>
  <c r="T46" i="13"/>
  <c r="T53" i="13"/>
  <c r="T51" i="13"/>
  <c r="T48" i="13"/>
  <c r="T49" i="13"/>
  <c r="T43" i="13"/>
  <c r="T42" i="13"/>
  <c r="T41" i="13"/>
  <c r="W37" i="13"/>
  <c r="W36" i="13"/>
  <c r="W35" i="13"/>
  <c r="T20" i="13" l="1"/>
  <c r="U21" i="13" s="1"/>
  <c r="V22" i="13" s="1"/>
  <c r="W23" i="13" s="1"/>
  <c r="T19" i="13"/>
  <c r="U20" i="13" s="1"/>
  <c r="V21" i="13" s="1"/>
  <c r="W22" i="13" s="1"/>
  <c r="T17" i="13"/>
  <c r="T18" i="13"/>
  <c r="U19" i="13" s="1"/>
  <c r="V20" i="13" s="1"/>
  <c r="W21" i="13" s="1"/>
  <c r="X28" i="13"/>
  <c r="V13" i="13"/>
  <c r="V14" i="13"/>
  <c r="Z8" i="13"/>
  <c r="X29" i="13"/>
  <c r="Y30" i="13" s="1"/>
  <c r="Z31" i="13" s="1"/>
  <c r="X25" i="13"/>
  <c r="X26" i="13"/>
  <c r="U54" i="13"/>
  <c r="V55" i="13" s="1"/>
  <c r="U46" i="13"/>
  <c r="X27" i="13"/>
  <c r="U44" i="13"/>
  <c r="U50" i="13"/>
  <c r="U47" i="13"/>
  <c r="U45" i="13"/>
  <c r="U53" i="13"/>
  <c r="U52" i="13"/>
  <c r="U49" i="13"/>
  <c r="U43" i="13"/>
  <c r="U51" i="13"/>
  <c r="U48" i="13"/>
  <c r="X24" i="13"/>
  <c r="U40" i="13"/>
  <c r="U42" i="13"/>
  <c r="U41" i="13"/>
  <c r="X36" i="13"/>
  <c r="X34" i="13"/>
  <c r="X35" i="13"/>
  <c r="X22" i="13"/>
  <c r="X23" i="13"/>
  <c r="W12" i="13" l="1"/>
  <c r="W13" i="13"/>
  <c r="AA7" i="13"/>
  <c r="U18" i="13"/>
  <c r="V19" i="13" s="1"/>
  <c r="W20" i="13" s="1"/>
  <c r="X21" i="13" s="1"/>
  <c r="Y22" i="13" s="1"/>
  <c r="U16" i="13"/>
  <c r="U17" i="13"/>
  <c r="V18" i="13" s="1"/>
  <c r="W19" i="13" s="1"/>
  <c r="X20" i="13" s="1"/>
  <c r="Y21" i="13" s="1"/>
  <c r="Y28" i="13"/>
  <c r="Y29" i="13"/>
  <c r="Z30" i="13" s="1"/>
  <c r="V54" i="13"/>
  <c r="W55" i="13" s="1"/>
  <c r="Y25" i="13"/>
  <c r="V45" i="13"/>
  <c r="Y27" i="13"/>
  <c r="Z28" i="13" s="1"/>
  <c r="Y26" i="13"/>
  <c r="V46" i="13"/>
  <c r="V47" i="13"/>
  <c r="V43" i="13"/>
  <c r="V44" i="13"/>
  <c r="V53" i="13"/>
  <c r="V49" i="13"/>
  <c r="Y24" i="13"/>
  <c r="V52" i="13"/>
  <c r="V50" i="13"/>
  <c r="V51" i="13"/>
  <c r="V48" i="13"/>
  <c r="Y23" i="13"/>
  <c r="V41" i="13"/>
  <c r="V39" i="13"/>
  <c r="V40" i="13"/>
  <c r="Y35" i="13"/>
  <c r="Y34" i="13"/>
  <c r="Y33" i="13"/>
  <c r="V42" i="13"/>
  <c r="V17" i="13" l="1"/>
  <c r="W18" i="13" s="1"/>
  <c r="X19" i="13" s="1"/>
  <c r="Y20" i="13" s="1"/>
  <c r="V15" i="13"/>
  <c r="V16" i="13"/>
  <c r="W17" i="13" s="1"/>
  <c r="X18" i="13" s="1"/>
  <c r="Y19" i="13" s="1"/>
  <c r="Z20" i="13" s="1"/>
  <c r="X11" i="13"/>
  <c r="X12" i="13"/>
  <c r="Z29" i="13"/>
  <c r="AA30" i="13" s="1"/>
  <c r="W54" i="13"/>
  <c r="X55" i="13" s="1"/>
  <c r="Z27" i="13"/>
  <c r="Z25" i="13"/>
  <c r="W45" i="13"/>
  <c r="W46" i="13"/>
  <c r="Z24" i="13"/>
  <c r="Z26" i="13"/>
  <c r="W44" i="13"/>
  <c r="W53" i="13"/>
  <c r="W43" i="13"/>
  <c r="W52" i="13"/>
  <c r="W51" i="13"/>
  <c r="W50" i="13"/>
  <c r="W49" i="13"/>
  <c r="Z23" i="13"/>
  <c r="W47" i="13"/>
  <c r="W48" i="13"/>
  <c r="Z34" i="13"/>
  <c r="Z32" i="13"/>
  <c r="Z33" i="13"/>
  <c r="W42" i="13"/>
  <c r="Z22" i="13"/>
  <c r="Z21" i="13"/>
  <c r="W41" i="13"/>
  <c r="W40" i="13"/>
  <c r="W39" i="13"/>
  <c r="W38" i="13"/>
  <c r="AA28" i="13" l="1"/>
  <c r="Y10" i="13"/>
  <c r="Y11" i="13"/>
  <c r="W16" i="13"/>
  <c r="X17" i="13" s="1"/>
  <c r="Y18" i="13" s="1"/>
  <c r="Z19" i="13" s="1"/>
  <c r="AA20" i="13" s="1"/>
  <c r="W14" i="13"/>
  <c r="W15" i="13"/>
  <c r="X16" i="13" s="1"/>
  <c r="Y17" i="13" s="1"/>
  <c r="Z18" i="13" s="1"/>
  <c r="AA19" i="13" s="1"/>
  <c r="X46" i="13"/>
  <c r="AA29" i="13"/>
  <c r="AB29" i="13" s="1"/>
  <c r="X54" i="13"/>
  <c r="Y55" i="13" s="1"/>
  <c r="AA27" i="13"/>
  <c r="AB28" i="13" s="1"/>
  <c r="X45" i="13"/>
  <c r="AA24" i="13"/>
  <c r="X44" i="13"/>
  <c r="AA25" i="13"/>
  <c r="X53" i="13"/>
  <c r="Y54" i="13" s="1"/>
  <c r="Z55" i="13" s="1"/>
  <c r="X43" i="13"/>
  <c r="AA26" i="13"/>
  <c r="X52" i="13"/>
  <c r="X51" i="13"/>
  <c r="X49" i="13"/>
  <c r="X50" i="13"/>
  <c r="AA23" i="13"/>
  <c r="X47" i="13"/>
  <c r="X41" i="13"/>
  <c r="X42" i="13"/>
  <c r="X48" i="13"/>
  <c r="X40" i="13"/>
  <c r="AA21" i="13"/>
  <c r="AA33" i="13"/>
  <c r="AA31" i="13"/>
  <c r="AA32" i="13"/>
  <c r="X39" i="13"/>
  <c r="X37" i="13"/>
  <c r="X38" i="13"/>
  <c r="AA22" i="13"/>
  <c r="X15" i="13" l="1"/>
  <c r="Y16" i="13" s="1"/>
  <c r="Z17" i="13" s="1"/>
  <c r="AA18" i="13" s="1"/>
  <c r="X13" i="13"/>
  <c r="X14" i="13"/>
  <c r="Y15" i="13" s="1"/>
  <c r="Z16" i="13" s="1"/>
  <c r="AA17" i="13" s="1"/>
  <c r="Z9" i="13"/>
  <c r="Z10" i="13"/>
  <c r="AB27" i="13"/>
  <c r="AC28" i="13" s="1"/>
  <c r="Y45" i="13"/>
  <c r="Y46" i="13"/>
  <c r="Y44" i="13"/>
  <c r="Y53" i="13"/>
  <c r="Z54" i="13" s="1"/>
  <c r="AA55" i="13" s="1"/>
  <c r="AB24" i="13"/>
  <c r="AB23" i="13"/>
  <c r="Y52" i="13"/>
  <c r="AB26" i="13"/>
  <c r="Y43" i="13"/>
  <c r="Z44" i="13" s="1"/>
  <c r="AB25" i="13"/>
  <c r="Y49" i="13"/>
  <c r="Y51" i="13"/>
  <c r="Y47" i="13"/>
  <c r="Y42" i="13"/>
  <c r="Y50" i="13"/>
  <c r="Y41" i="13"/>
  <c r="Y48" i="13"/>
  <c r="Y38" i="13"/>
  <c r="Y40" i="13"/>
  <c r="AB21" i="13"/>
  <c r="AB20" i="13"/>
  <c r="AB18" i="13"/>
  <c r="AB19" i="13"/>
  <c r="Y36" i="13"/>
  <c r="Y37" i="13"/>
  <c r="Y39" i="13"/>
  <c r="AB32" i="13"/>
  <c r="AB31" i="13"/>
  <c r="AB30" i="13"/>
  <c r="AB22" i="13"/>
  <c r="AC27" i="13" l="1"/>
  <c r="AA8" i="13"/>
  <c r="AA9" i="13"/>
  <c r="Y14" i="13"/>
  <c r="Z15" i="13" s="1"/>
  <c r="AA16" i="13" s="1"/>
  <c r="AB17" i="13" s="1"/>
  <c r="Y13" i="13"/>
  <c r="Y12" i="13"/>
  <c r="Z46" i="13"/>
  <c r="Z45" i="13"/>
  <c r="AC23" i="13"/>
  <c r="Z53" i="13"/>
  <c r="AA54" i="13" s="1"/>
  <c r="AB55" i="13" s="1"/>
  <c r="Z52" i="13"/>
  <c r="AC26" i="13"/>
  <c r="AD27" i="13" s="1"/>
  <c r="Z43" i="13"/>
  <c r="AC24" i="13"/>
  <c r="AC25" i="13"/>
  <c r="Z51" i="13"/>
  <c r="Z49" i="13"/>
  <c r="Z42" i="13"/>
  <c r="Z50" i="13"/>
  <c r="Z47" i="13"/>
  <c r="AA46" i="13" s="1"/>
  <c r="Z40" i="13"/>
  <c r="Z41" i="13"/>
  <c r="AC20" i="13"/>
  <c r="Z48" i="13"/>
  <c r="Z37" i="13"/>
  <c r="Z36" i="13"/>
  <c r="Z35" i="13"/>
  <c r="AC19" i="13"/>
  <c r="AC18" i="13"/>
  <c r="AC21" i="13"/>
  <c r="AC22" i="13"/>
  <c r="Z39" i="13"/>
  <c r="AC31" i="13"/>
  <c r="AC30" i="13"/>
  <c r="AC29" i="13"/>
  <c r="AA45" i="13"/>
  <c r="Z38" i="13"/>
  <c r="AA52" i="13" l="1"/>
  <c r="AA53" i="13"/>
  <c r="AB54" i="13" s="1"/>
  <c r="AC55" i="13" s="1"/>
  <c r="Z14" i="13"/>
  <c r="AA15" i="13" s="1"/>
  <c r="AB16" i="13" s="1"/>
  <c r="AC17" i="13" s="1"/>
  <c r="AA44" i="13"/>
  <c r="AB7" i="13"/>
  <c r="AB8" i="13"/>
  <c r="Z13" i="13"/>
  <c r="Z11" i="13"/>
  <c r="Z12" i="13"/>
  <c r="AA13" i="13" s="1"/>
  <c r="AD24" i="13"/>
  <c r="AD23" i="13"/>
  <c r="AD26" i="13"/>
  <c r="AA43" i="13"/>
  <c r="AA49" i="13"/>
  <c r="AD25" i="13"/>
  <c r="AA51" i="13"/>
  <c r="AB52" i="13" s="1"/>
  <c r="AA42" i="13"/>
  <c r="AA40" i="13"/>
  <c r="AA50" i="13"/>
  <c r="AD19" i="13"/>
  <c r="AA41" i="13"/>
  <c r="AA48" i="13"/>
  <c r="AA47" i="13"/>
  <c r="AB44" i="13"/>
  <c r="AB45" i="13"/>
  <c r="AD30" i="13"/>
  <c r="AD28" i="13"/>
  <c r="AD29" i="13"/>
  <c r="AD18" i="13"/>
  <c r="AD22" i="13"/>
  <c r="AD20" i="13"/>
  <c r="AA36" i="13"/>
  <c r="AA34" i="13"/>
  <c r="AA35" i="13"/>
  <c r="AA37" i="13"/>
  <c r="AA39" i="13"/>
  <c r="AD21" i="13"/>
  <c r="AA38" i="13"/>
  <c r="AE23" i="13" l="1"/>
  <c r="AA14" i="13"/>
  <c r="AB15" i="13" s="1"/>
  <c r="AC16" i="13" s="1"/>
  <c r="AD17" i="13" s="1"/>
  <c r="AC7" i="13"/>
  <c r="AA12" i="13"/>
  <c r="AB13" i="13" s="1"/>
  <c r="AA11" i="13"/>
  <c r="AB12" i="13" s="1"/>
  <c r="AA10" i="13"/>
  <c r="AB53" i="13"/>
  <c r="AC54" i="13" s="1"/>
  <c r="AD55" i="13" s="1"/>
  <c r="AE26" i="13"/>
  <c r="AE24" i="13"/>
  <c r="AB43" i="13"/>
  <c r="AC44" i="13" s="1"/>
  <c r="AE25" i="13"/>
  <c r="AB42" i="13"/>
  <c r="AB40" i="13"/>
  <c r="AB51" i="13"/>
  <c r="AC52" i="13" s="1"/>
  <c r="AB49" i="13"/>
  <c r="AE22" i="13"/>
  <c r="AB36" i="13"/>
  <c r="AB50" i="13"/>
  <c r="AB41" i="13"/>
  <c r="AB48" i="13"/>
  <c r="AB47" i="13"/>
  <c r="AE20" i="13"/>
  <c r="AB46" i="13"/>
  <c r="AE29" i="13"/>
  <c r="AE27" i="13"/>
  <c r="AE28" i="13"/>
  <c r="AB35" i="13"/>
  <c r="AB34" i="13"/>
  <c r="AB33" i="13"/>
  <c r="AB38" i="13"/>
  <c r="AB37" i="13"/>
  <c r="AE21" i="13"/>
  <c r="AE18" i="13"/>
  <c r="AB39" i="13"/>
  <c r="AE19" i="13"/>
  <c r="AC53" i="13" l="1"/>
  <c r="AD54" i="13" s="1"/>
  <c r="AE55" i="13" s="1"/>
  <c r="AB14" i="13"/>
  <c r="AC15" i="13" s="1"/>
  <c r="AD16" i="13" s="1"/>
  <c r="AE17" i="13" s="1"/>
  <c r="AB11" i="13"/>
  <c r="AC12" i="13" s="1"/>
  <c r="AB9" i="13"/>
  <c r="AB10" i="13"/>
  <c r="AF23" i="13"/>
  <c r="AF25" i="13"/>
  <c r="AD53" i="13"/>
  <c r="AE54" i="13" s="1"/>
  <c r="AF55" i="13" s="1"/>
  <c r="AC43" i="13"/>
  <c r="AF22" i="13"/>
  <c r="AG23" i="13" s="1"/>
  <c r="AF24" i="13"/>
  <c r="AC42" i="13"/>
  <c r="AC40" i="13"/>
  <c r="AC51" i="13"/>
  <c r="AD52" i="13" s="1"/>
  <c r="AE53" i="13" s="1"/>
  <c r="AF54" i="13" s="1"/>
  <c r="AG55" i="13" s="1"/>
  <c r="AC35" i="13"/>
  <c r="AC49" i="13"/>
  <c r="AC50" i="13"/>
  <c r="AG24" i="13"/>
  <c r="AC48" i="13"/>
  <c r="AC41" i="13"/>
  <c r="AF21" i="13"/>
  <c r="AG22" i="13" s="1"/>
  <c r="AF20" i="13"/>
  <c r="AC47" i="13"/>
  <c r="AC45" i="13"/>
  <c r="AC46" i="13"/>
  <c r="AF18" i="13"/>
  <c r="AC38" i="13"/>
  <c r="AF28" i="13"/>
  <c r="AF27" i="13"/>
  <c r="AF26" i="13"/>
  <c r="AC34" i="13"/>
  <c r="AC33" i="13"/>
  <c r="AC32" i="13"/>
  <c r="AF19" i="13"/>
  <c r="AC37" i="13"/>
  <c r="AC39" i="13"/>
  <c r="AC36" i="13"/>
  <c r="AC13" i="13" l="1"/>
  <c r="AD43" i="13"/>
  <c r="AC11" i="13"/>
  <c r="AD12" i="13" s="1"/>
  <c r="AC14" i="13"/>
  <c r="AD15" i="13" s="1"/>
  <c r="AE16" i="13" s="1"/>
  <c r="AF17" i="13" s="1"/>
  <c r="AG18" i="13" s="1"/>
  <c r="AC10" i="13"/>
  <c r="AD11" i="13" s="1"/>
  <c r="AC8" i="13"/>
  <c r="AC9" i="13"/>
  <c r="AD42" i="13"/>
  <c r="AD51" i="13"/>
  <c r="AE52" i="13" s="1"/>
  <c r="AF53" i="13" s="1"/>
  <c r="AG54" i="13" s="1"/>
  <c r="AH55" i="13" s="1"/>
  <c r="AD35" i="13"/>
  <c r="AD34" i="13"/>
  <c r="AD40" i="13"/>
  <c r="AH23" i="13"/>
  <c r="AD49" i="13"/>
  <c r="AD50" i="13"/>
  <c r="AG20" i="13"/>
  <c r="AD48" i="13"/>
  <c r="AG21" i="13"/>
  <c r="AH22" i="13" s="1"/>
  <c r="AD41" i="13"/>
  <c r="AD36" i="13"/>
  <c r="AD47" i="13"/>
  <c r="AD46" i="13"/>
  <c r="AD44" i="13"/>
  <c r="AD45" i="13"/>
  <c r="AD38" i="13"/>
  <c r="AD39" i="13"/>
  <c r="AG19" i="13"/>
  <c r="AD33" i="13"/>
  <c r="AD31" i="13"/>
  <c r="AD32" i="13"/>
  <c r="AD37" i="13"/>
  <c r="AG27" i="13"/>
  <c r="AG26" i="13"/>
  <c r="AG25" i="13"/>
  <c r="AE35" i="13" l="1"/>
  <c r="AD13" i="13"/>
  <c r="AE14" i="13" s="1"/>
  <c r="AF15" i="13" s="1"/>
  <c r="AG16" i="13" s="1"/>
  <c r="AE34" i="13"/>
  <c r="AD10" i="13"/>
  <c r="AE11" i="13" s="1"/>
  <c r="AE12" i="13"/>
  <c r="AD14" i="13"/>
  <c r="AE15" i="13" s="1"/>
  <c r="AF16" i="13" s="1"/>
  <c r="AG17" i="13" s="1"/>
  <c r="AD9" i="13"/>
  <c r="AD7" i="13"/>
  <c r="AD8" i="13"/>
  <c r="AE42" i="13"/>
  <c r="AE51" i="13"/>
  <c r="AF52" i="13" s="1"/>
  <c r="AG53" i="13" s="1"/>
  <c r="AH54" i="13" s="1"/>
  <c r="AI55" i="13" s="1"/>
  <c r="AH21" i="13"/>
  <c r="AE36" i="13"/>
  <c r="AF35" i="13" s="1"/>
  <c r="AE49" i="13"/>
  <c r="AE48" i="13"/>
  <c r="AE50" i="13"/>
  <c r="AE47" i="13"/>
  <c r="AE41" i="13"/>
  <c r="AE40" i="13"/>
  <c r="AH17" i="13"/>
  <c r="AH18" i="13"/>
  <c r="AE46" i="13"/>
  <c r="AH19" i="13"/>
  <c r="AE45" i="13"/>
  <c r="AE43" i="13"/>
  <c r="AE44" i="13"/>
  <c r="AE32" i="13"/>
  <c r="AE30" i="13"/>
  <c r="AE31" i="13"/>
  <c r="AI22" i="13"/>
  <c r="AE39" i="13"/>
  <c r="AH20" i="13"/>
  <c r="AH26" i="13"/>
  <c r="AH25" i="13"/>
  <c r="AH24" i="13"/>
  <c r="AE38" i="13"/>
  <c r="AE33" i="13"/>
  <c r="AF34" i="13" s="1"/>
  <c r="AE37" i="13"/>
  <c r="AE9" i="13" l="1"/>
  <c r="AE10" i="13"/>
  <c r="AF11" i="13" s="1"/>
  <c r="AE13" i="13"/>
  <c r="AF14" i="13" s="1"/>
  <c r="AG15" i="13" s="1"/>
  <c r="AH16" i="13" s="1"/>
  <c r="AE7" i="13"/>
  <c r="AE8" i="13"/>
  <c r="AF51" i="13"/>
  <c r="AG52" i="13" s="1"/>
  <c r="AH53" i="13" s="1"/>
  <c r="AI54" i="13" s="1"/>
  <c r="AJ55" i="13" s="1"/>
  <c r="AF47" i="13"/>
  <c r="AF48" i="13"/>
  <c r="AF39" i="13"/>
  <c r="AI19" i="13"/>
  <c r="AF50" i="13"/>
  <c r="AF49" i="13"/>
  <c r="AF40" i="13"/>
  <c r="AF41" i="13"/>
  <c r="AI18" i="13"/>
  <c r="AF45" i="13"/>
  <c r="AF46" i="13"/>
  <c r="AF44" i="13"/>
  <c r="AF42" i="13"/>
  <c r="AF43" i="13"/>
  <c r="AF33" i="13"/>
  <c r="AG34" i="13" s="1"/>
  <c r="AF38" i="13"/>
  <c r="AF36" i="13"/>
  <c r="AI17" i="13"/>
  <c r="AI21" i="13"/>
  <c r="AI20" i="13"/>
  <c r="AF32" i="13"/>
  <c r="AI25" i="13"/>
  <c r="AI23" i="13"/>
  <c r="AI24" i="13"/>
  <c r="AF31" i="13"/>
  <c r="AF29" i="13"/>
  <c r="AF30" i="13"/>
  <c r="AF37" i="13"/>
  <c r="AF12" i="13" l="1"/>
  <c r="AF13" i="13"/>
  <c r="AG14" i="13" s="1"/>
  <c r="AH15" i="13" s="1"/>
  <c r="AI16" i="13" s="1"/>
  <c r="AF9" i="13"/>
  <c r="AF10" i="13"/>
  <c r="AG11" i="13" s="1"/>
  <c r="AG33" i="13"/>
  <c r="AG51" i="13"/>
  <c r="AH52" i="13" s="1"/>
  <c r="AI53" i="13" s="1"/>
  <c r="AJ54" i="13" s="1"/>
  <c r="AK55" i="13" s="1"/>
  <c r="AF8" i="13"/>
  <c r="AF7" i="13"/>
  <c r="AG47" i="13"/>
  <c r="AG49" i="13"/>
  <c r="AG38" i="13"/>
  <c r="AG39" i="13"/>
  <c r="AG50" i="13"/>
  <c r="AH51" i="13" s="1"/>
  <c r="AI52" i="13" s="1"/>
  <c r="AJ53" i="13" s="1"/>
  <c r="AK54" i="13" s="1"/>
  <c r="AL55" i="13" s="1"/>
  <c r="AJ18" i="13"/>
  <c r="AG40" i="13"/>
  <c r="AG48" i="13"/>
  <c r="AG45" i="13"/>
  <c r="AG44" i="13"/>
  <c r="AJ24" i="13"/>
  <c r="AG46" i="13"/>
  <c r="AG43" i="13"/>
  <c r="AG42" i="13"/>
  <c r="AJ20" i="13"/>
  <c r="AG37" i="13"/>
  <c r="AG41" i="13"/>
  <c r="AJ17" i="13"/>
  <c r="AG30" i="13"/>
  <c r="AG28" i="13"/>
  <c r="AG29" i="13"/>
  <c r="AJ23" i="13"/>
  <c r="AG36" i="13"/>
  <c r="AJ21" i="13"/>
  <c r="AJ22" i="13"/>
  <c r="AG32" i="13"/>
  <c r="AG31" i="13"/>
  <c r="AG35" i="13"/>
  <c r="AJ19" i="13"/>
  <c r="AH33" i="13" l="1"/>
  <c r="AG10" i="13"/>
  <c r="AG9" i="13"/>
  <c r="AH10" i="13" s="1"/>
  <c r="AG12" i="13"/>
  <c r="AG13" i="13"/>
  <c r="AH14" i="13" s="1"/>
  <c r="AI15" i="13" s="1"/>
  <c r="AJ16" i="13" s="1"/>
  <c r="AK17" i="13" s="1"/>
  <c r="AG7" i="13"/>
  <c r="AG8" i="13"/>
  <c r="AH40" i="13"/>
  <c r="AH50" i="13"/>
  <c r="AI51" i="13" s="1"/>
  <c r="AJ52" i="13" s="1"/>
  <c r="AK53" i="13" s="1"/>
  <c r="AL54" i="13" s="1"/>
  <c r="AM55" i="13" s="1"/>
  <c r="AH39" i="13"/>
  <c r="AH38" i="13"/>
  <c r="AH49" i="13"/>
  <c r="AH47" i="13"/>
  <c r="AH48" i="13"/>
  <c r="AH32" i="13"/>
  <c r="AH37" i="13"/>
  <c r="AH44" i="13"/>
  <c r="AH45" i="13"/>
  <c r="AH43" i="13"/>
  <c r="AH46" i="13"/>
  <c r="AK20" i="13"/>
  <c r="AH41" i="13"/>
  <c r="AH42" i="13"/>
  <c r="AK19" i="13"/>
  <c r="AH30" i="13"/>
  <c r="AH36" i="13"/>
  <c r="AH35" i="13"/>
  <c r="AH34" i="13"/>
  <c r="AK18" i="13"/>
  <c r="AH29" i="13"/>
  <c r="AH27" i="13"/>
  <c r="AH28" i="13"/>
  <c r="AK23" i="13"/>
  <c r="AK22" i="13"/>
  <c r="AH31" i="13"/>
  <c r="AK21" i="13"/>
  <c r="AH13" i="13" l="1"/>
  <c r="AI14" i="13" s="1"/>
  <c r="AJ15" i="13" s="1"/>
  <c r="AK16" i="13" s="1"/>
  <c r="AH9" i="13"/>
  <c r="AH11" i="13"/>
  <c r="AH12" i="13"/>
  <c r="AI13" i="13" s="1"/>
  <c r="AJ14" i="13" s="1"/>
  <c r="AK15" i="13" s="1"/>
  <c r="AL16" i="13" s="1"/>
  <c r="AH7" i="13"/>
  <c r="AH8" i="13"/>
  <c r="AI50" i="13"/>
  <c r="AJ51" i="13" s="1"/>
  <c r="AK52" i="13" s="1"/>
  <c r="AL53" i="13" s="1"/>
  <c r="AM54" i="13" s="1"/>
  <c r="AN55" i="13" s="1"/>
  <c r="AI39" i="13"/>
  <c r="AI33" i="13"/>
  <c r="AI38" i="13"/>
  <c r="AI49" i="13"/>
  <c r="AI48" i="13"/>
  <c r="AI45" i="13"/>
  <c r="AL22" i="13"/>
  <c r="AI46" i="13"/>
  <c r="AI44" i="13"/>
  <c r="AI34" i="13"/>
  <c r="AI47" i="13"/>
  <c r="AI43" i="13"/>
  <c r="AI42" i="13"/>
  <c r="AI40" i="13"/>
  <c r="AI41" i="13"/>
  <c r="AI30" i="13"/>
  <c r="AL21" i="13"/>
  <c r="AL20" i="13"/>
  <c r="AL18" i="13"/>
  <c r="AL19" i="13"/>
  <c r="AI31" i="13"/>
  <c r="AI29" i="13"/>
  <c r="AI28" i="13"/>
  <c r="AI26" i="13"/>
  <c r="AI27" i="13"/>
  <c r="AI32" i="13"/>
  <c r="AI35" i="13"/>
  <c r="AI37" i="13"/>
  <c r="AI36" i="13"/>
  <c r="AL17" i="13"/>
  <c r="AI12" i="13" l="1"/>
  <c r="AJ13" i="13" s="1"/>
  <c r="AK14" i="13" s="1"/>
  <c r="AL15" i="13" s="1"/>
  <c r="AI10" i="13"/>
  <c r="AJ50" i="13"/>
  <c r="AK51" i="13" s="1"/>
  <c r="AL52" i="13" s="1"/>
  <c r="AM53" i="13" s="1"/>
  <c r="AN54" i="13" s="1"/>
  <c r="AO55" i="13" s="1"/>
  <c r="AI9" i="13"/>
  <c r="AI11" i="13"/>
  <c r="AJ12" i="13" s="1"/>
  <c r="AK13" i="13" s="1"/>
  <c r="AL14" i="13" s="1"/>
  <c r="AM15" i="13" s="1"/>
  <c r="AI7" i="13"/>
  <c r="AI8" i="13"/>
  <c r="AJ49" i="13"/>
  <c r="AK50" i="13" s="1"/>
  <c r="AL51" i="13" s="1"/>
  <c r="AM52" i="13" s="1"/>
  <c r="AN53" i="13" s="1"/>
  <c r="AO54" i="13" s="1"/>
  <c r="AP55" i="13" s="1"/>
  <c r="AJ38" i="13"/>
  <c r="AJ39" i="13"/>
  <c r="AJ48" i="13"/>
  <c r="AJ45" i="13"/>
  <c r="AJ44" i="13"/>
  <c r="AJ36" i="13"/>
  <c r="AJ33" i="13"/>
  <c r="AJ47" i="13"/>
  <c r="AJ43" i="13"/>
  <c r="AJ46" i="13"/>
  <c r="AJ41" i="13"/>
  <c r="AJ40" i="13"/>
  <c r="AM18" i="13"/>
  <c r="AM21" i="13"/>
  <c r="AJ42" i="13"/>
  <c r="AJ37" i="13"/>
  <c r="AJ32" i="13"/>
  <c r="AM17" i="13"/>
  <c r="AM20" i="13"/>
  <c r="AJ34" i="13"/>
  <c r="AM19" i="13"/>
  <c r="AJ35" i="13"/>
  <c r="AJ31" i="13"/>
  <c r="AJ29" i="13"/>
  <c r="AJ28" i="13"/>
  <c r="AJ30" i="13"/>
  <c r="AJ27" i="13"/>
  <c r="AJ26" i="13"/>
  <c r="AJ25" i="13"/>
  <c r="AM16" i="13"/>
  <c r="AJ10" i="13" l="1"/>
  <c r="AJ9" i="13"/>
  <c r="AJ11" i="13"/>
  <c r="AK12" i="13" s="1"/>
  <c r="AL13" i="13" s="1"/>
  <c r="AM14" i="13" s="1"/>
  <c r="AJ7" i="13"/>
  <c r="AJ8" i="13"/>
  <c r="AK9" i="13" s="1"/>
  <c r="AK49" i="13"/>
  <c r="AL50" i="13" s="1"/>
  <c r="AM51" i="13" s="1"/>
  <c r="AN52" i="13" s="1"/>
  <c r="AO53" i="13" s="1"/>
  <c r="AP54" i="13" s="1"/>
  <c r="AQ55" i="13" s="1"/>
  <c r="AK48" i="13"/>
  <c r="AK38" i="13"/>
  <c r="AK40" i="13"/>
  <c r="AN15" i="13"/>
  <c r="AK45" i="13"/>
  <c r="AK33" i="13"/>
  <c r="AK39" i="13"/>
  <c r="AK36" i="13"/>
  <c r="AK44" i="13"/>
  <c r="AN20" i="13"/>
  <c r="AK43" i="13"/>
  <c r="AK46" i="13"/>
  <c r="AK30" i="13"/>
  <c r="AK47" i="13"/>
  <c r="AK32" i="13"/>
  <c r="AK41" i="13"/>
  <c r="AK42" i="13"/>
  <c r="AK27" i="13"/>
  <c r="AK37" i="13"/>
  <c r="AN19" i="13"/>
  <c r="AN18" i="13"/>
  <c r="AN17" i="13"/>
  <c r="AN16" i="13"/>
  <c r="AK28" i="13"/>
  <c r="AK29" i="13"/>
  <c r="AK31" i="13"/>
  <c r="AK34" i="13"/>
  <c r="AK26" i="13"/>
  <c r="AK25" i="13"/>
  <c r="AK24" i="13"/>
  <c r="AK35" i="13"/>
  <c r="AK10" i="13" l="1"/>
  <c r="AK11" i="13"/>
  <c r="AL12" i="13" s="1"/>
  <c r="AM13" i="13" s="1"/>
  <c r="AN14" i="13" s="1"/>
  <c r="AL49" i="13"/>
  <c r="AM50" i="13" s="1"/>
  <c r="AN51" i="13" s="1"/>
  <c r="AO52" i="13" s="1"/>
  <c r="AP53" i="13" s="1"/>
  <c r="AQ54" i="13" s="1"/>
  <c r="AR55" i="13" s="1"/>
  <c r="AK8" i="13"/>
  <c r="AK7" i="13"/>
  <c r="AL48" i="13"/>
  <c r="AL39" i="13"/>
  <c r="AL38" i="13"/>
  <c r="AL36" i="13"/>
  <c r="AL40" i="13"/>
  <c r="AL44" i="13"/>
  <c r="AL47" i="13"/>
  <c r="AL33" i="13"/>
  <c r="AL28" i="13"/>
  <c r="AL46" i="13"/>
  <c r="AL43" i="13"/>
  <c r="AL35" i="13"/>
  <c r="AL45" i="13"/>
  <c r="AL31" i="13"/>
  <c r="AL32" i="13"/>
  <c r="AL26" i="13"/>
  <c r="AL37" i="13"/>
  <c r="AL34" i="13"/>
  <c r="AL27" i="13"/>
  <c r="AL42" i="13"/>
  <c r="AL41" i="13"/>
  <c r="AL25" i="13"/>
  <c r="AL23" i="13"/>
  <c r="AL24" i="13"/>
  <c r="AO18" i="13"/>
  <c r="AO17" i="13"/>
  <c r="AO15" i="13"/>
  <c r="AL30" i="13"/>
  <c r="AO16" i="13"/>
  <c r="AL29" i="13"/>
  <c r="AO19" i="13"/>
  <c r="AL10" i="13" l="1"/>
  <c r="AL11" i="13"/>
  <c r="AM12" i="13" s="1"/>
  <c r="AN13" i="13" s="1"/>
  <c r="AO14" i="13" s="1"/>
  <c r="AL9" i="13"/>
  <c r="AM10" i="13" s="1"/>
  <c r="AL8" i="13"/>
  <c r="AM9" i="13" s="1"/>
  <c r="AL7" i="13"/>
  <c r="AM49" i="13"/>
  <c r="AN50" i="13" s="1"/>
  <c r="AO51" i="13" s="1"/>
  <c r="AP52" i="13" s="1"/>
  <c r="AQ53" i="13" s="1"/>
  <c r="AR54" i="13" s="1"/>
  <c r="AS55" i="13" s="1"/>
  <c r="AM48" i="13"/>
  <c r="AM38" i="13"/>
  <c r="AM39" i="13"/>
  <c r="AM47" i="13"/>
  <c r="AM28" i="13"/>
  <c r="AM43" i="13"/>
  <c r="AM33" i="13"/>
  <c r="AM27" i="13"/>
  <c r="AM35" i="13"/>
  <c r="AM46" i="13"/>
  <c r="AN47" i="13" s="1"/>
  <c r="AM42" i="13"/>
  <c r="AM37" i="13"/>
  <c r="AM44" i="13"/>
  <c r="AM45" i="13"/>
  <c r="AP17" i="13"/>
  <c r="AM40" i="13"/>
  <c r="AN39" i="13" s="1"/>
  <c r="AM31" i="13"/>
  <c r="AM25" i="13"/>
  <c r="AM32" i="13"/>
  <c r="AM36" i="13"/>
  <c r="AM41" i="13"/>
  <c r="AM26" i="13"/>
  <c r="AM34" i="13"/>
  <c r="AM29" i="13"/>
  <c r="AP16" i="13"/>
  <c r="AM24" i="13"/>
  <c r="AM23" i="13"/>
  <c r="AM22" i="13"/>
  <c r="AP18" i="13"/>
  <c r="AM30" i="13"/>
  <c r="AP15" i="13"/>
  <c r="AN49" i="13" l="1"/>
  <c r="AO50" i="13" s="1"/>
  <c r="AP51" i="13" s="1"/>
  <c r="AQ52" i="13" s="1"/>
  <c r="AR53" i="13" s="1"/>
  <c r="AS54" i="13" s="1"/>
  <c r="AT55" i="13" s="1"/>
  <c r="AN48" i="13"/>
  <c r="AO49" i="13" s="1"/>
  <c r="AP50" i="13" s="1"/>
  <c r="AQ51" i="13" s="1"/>
  <c r="AR52" i="13" s="1"/>
  <c r="AS53" i="13" s="1"/>
  <c r="AT54" i="13" s="1"/>
  <c r="AU55" i="13" s="1"/>
  <c r="AM11" i="13"/>
  <c r="AN12" i="13" s="1"/>
  <c r="AO13" i="13" s="1"/>
  <c r="AP14" i="13" s="1"/>
  <c r="AQ15" i="13" s="1"/>
  <c r="AM7" i="13"/>
  <c r="AM8" i="13"/>
  <c r="AN9" i="13" s="1"/>
  <c r="AN38" i="13"/>
  <c r="AN27" i="13"/>
  <c r="AN40" i="13"/>
  <c r="AN37" i="13"/>
  <c r="AN46" i="13"/>
  <c r="AN26" i="13"/>
  <c r="AN25" i="13"/>
  <c r="AN35" i="13"/>
  <c r="AN42" i="13"/>
  <c r="AN45" i="13"/>
  <c r="AQ17" i="13"/>
  <c r="AN30" i="13"/>
  <c r="AN44" i="13"/>
  <c r="AN24" i="13"/>
  <c r="AN41" i="13"/>
  <c r="AN43" i="13"/>
  <c r="AN33" i="13"/>
  <c r="AN31" i="13"/>
  <c r="AN36" i="13"/>
  <c r="AN32" i="13"/>
  <c r="AN34" i="13"/>
  <c r="AN28" i="13"/>
  <c r="AN23" i="13"/>
  <c r="AN22" i="13"/>
  <c r="AN21" i="13"/>
  <c r="AQ16" i="13"/>
  <c r="AN29" i="13"/>
  <c r="AN11" i="13" l="1"/>
  <c r="AO12" i="13" s="1"/>
  <c r="AP13" i="13" s="1"/>
  <c r="AQ14" i="13" s="1"/>
  <c r="AO38" i="13"/>
  <c r="AO48" i="13"/>
  <c r="AP49" i="13" s="1"/>
  <c r="AQ50" i="13" s="1"/>
  <c r="AR51" i="13" s="1"/>
  <c r="AS52" i="13" s="1"/>
  <c r="AT53" i="13" s="1"/>
  <c r="AU54" i="13" s="1"/>
  <c r="AV55" i="13" s="1"/>
  <c r="AO47" i="13"/>
  <c r="AP48" i="13" s="1"/>
  <c r="AQ49" i="13" s="1"/>
  <c r="AR50" i="13" s="1"/>
  <c r="AS51" i="13" s="1"/>
  <c r="AT52" i="13" s="1"/>
  <c r="AN10" i="13"/>
  <c r="AO11" i="13" s="1"/>
  <c r="AP12" i="13" s="1"/>
  <c r="AQ13" i="13" s="1"/>
  <c r="AR14" i="13" s="1"/>
  <c r="AN8" i="13"/>
  <c r="AN7" i="13"/>
  <c r="AO39" i="13"/>
  <c r="AO26" i="13"/>
  <c r="AO27" i="13"/>
  <c r="AO23" i="13"/>
  <c r="AO46" i="13"/>
  <c r="AO37" i="13"/>
  <c r="AP38" i="13" s="1"/>
  <c r="AO30" i="13"/>
  <c r="AO24" i="13"/>
  <c r="AO25" i="13"/>
  <c r="AO33" i="13"/>
  <c r="AO45" i="13"/>
  <c r="AO34" i="13"/>
  <c r="AO44" i="13"/>
  <c r="AO43" i="13"/>
  <c r="AO42" i="13"/>
  <c r="AO40" i="13"/>
  <c r="AO41" i="13"/>
  <c r="AO32" i="13"/>
  <c r="AO35" i="13"/>
  <c r="AO31" i="13"/>
  <c r="AO36" i="13"/>
  <c r="AO22" i="13"/>
  <c r="AO21" i="13"/>
  <c r="AO20" i="13"/>
  <c r="AR16" i="13"/>
  <c r="AO28" i="13"/>
  <c r="AO29" i="13"/>
  <c r="AR15" i="13"/>
  <c r="AU53" i="13" l="1"/>
  <c r="AV54" i="13" s="1"/>
  <c r="AW55" i="13" s="1"/>
  <c r="AO9" i="13"/>
  <c r="AP47" i="13"/>
  <c r="AQ48" i="13" s="1"/>
  <c r="AR49" i="13" s="1"/>
  <c r="AS50" i="13" s="1"/>
  <c r="AT51" i="13" s="1"/>
  <c r="AU52" i="13" s="1"/>
  <c r="AO10" i="13"/>
  <c r="AP11" i="13" s="1"/>
  <c r="AQ12" i="13" s="1"/>
  <c r="AR13" i="13" s="1"/>
  <c r="AO8" i="13"/>
  <c r="AP9" i="13" s="1"/>
  <c r="AO7" i="13"/>
  <c r="AP27" i="13"/>
  <c r="AP26" i="13"/>
  <c r="AP37" i="13"/>
  <c r="AP46" i="13"/>
  <c r="AQ47" i="13" s="1"/>
  <c r="AR48" i="13" s="1"/>
  <c r="AS49" i="13" s="1"/>
  <c r="AT50" i="13" s="1"/>
  <c r="AU51" i="13" s="1"/>
  <c r="AV52" i="13" s="1"/>
  <c r="AP23" i="13"/>
  <c r="AP24" i="13"/>
  <c r="AP25" i="13"/>
  <c r="AQ26" i="13" s="1"/>
  <c r="AS14" i="13"/>
  <c r="AP43" i="13"/>
  <c r="AP33" i="13"/>
  <c r="AP42" i="13"/>
  <c r="AP30" i="13"/>
  <c r="AP34" i="13"/>
  <c r="AP44" i="13"/>
  <c r="AP32" i="13"/>
  <c r="AP45" i="13"/>
  <c r="AP41" i="13"/>
  <c r="AP39" i="13"/>
  <c r="AP40" i="13"/>
  <c r="AP31" i="13"/>
  <c r="AP22" i="13"/>
  <c r="AP35" i="13"/>
  <c r="AS15" i="13"/>
  <c r="AP29" i="13"/>
  <c r="AP36" i="13"/>
  <c r="AP28" i="13"/>
  <c r="AP21" i="13"/>
  <c r="AP19" i="13"/>
  <c r="AP20" i="13"/>
  <c r="AV53" i="13" l="1"/>
  <c r="AW54" i="13" s="1"/>
  <c r="AX55" i="13" s="1"/>
  <c r="AQ10" i="13"/>
  <c r="AR11" i="13" s="1"/>
  <c r="AS12" i="13" s="1"/>
  <c r="AT13" i="13" s="1"/>
  <c r="AP10" i="13"/>
  <c r="AQ11" i="13" s="1"/>
  <c r="AR12" i="13" s="1"/>
  <c r="AS13" i="13" s="1"/>
  <c r="AP8" i="13"/>
  <c r="AQ9" i="13" s="1"/>
  <c r="AR10" i="13" s="1"/>
  <c r="AS11" i="13" s="1"/>
  <c r="AT12" i="13" s="1"/>
  <c r="AP7" i="13"/>
  <c r="AQ37" i="13"/>
  <c r="AQ46" i="13"/>
  <c r="AR47" i="13" s="1"/>
  <c r="AS48" i="13" s="1"/>
  <c r="AT49" i="13" s="1"/>
  <c r="AU50" i="13" s="1"/>
  <c r="AV51" i="13" s="1"/>
  <c r="AW52" i="13" s="1"/>
  <c r="AQ23" i="13"/>
  <c r="AT14" i="13"/>
  <c r="AQ24" i="13"/>
  <c r="AQ34" i="13"/>
  <c r="AQ25" i="13"/>
  <c r="AQ32" i="13"/>
  <c r="AQ28" i="13"/>
  <c r="AQ42" i="13"/>
  <c r="AQ33" i="13"/>
  <c r="AQ45" i="13"/>
  <c r="AQ41" i="13"/>
  <c r="AQ44" i="13"/>
  <c r="AQ43" i="13"/>
  <c r="AQ40" i="13"/>
  <c r="AQ39" i="13"/>
  <c r="AQ38" i="13"/>
  <c r="AQ21" i="13"/>
  <c r="AQ22" i="13"/>
  <c r="AQ30" i="13"/>
  <c r="AQ29" i="13"/>
  <c r="AQ31" i="13"/>
  <c r="AQ36" i="13"/>
  <c r="AQ35" i="13"/>
  <c r="AQ20" i="13"/>
  <c r="AQ18" i="13"/>
  <c r="AQ19" i="13"/>
  <c r="AQ27" i="13"/>
  <c r="AW53" i="13" l="1"/>
  <c r="AX54" i="13" s="1"/>
  <c r="AY55" i="13" s="1"/>
  <c r="AQ8" i="13"/>
  <c r="AR9" i="13" s="1"/>
  <c r="AS10" i="13" s="1"/>
  <c r="AT11" i="13" s="1"/>
  <c r="AU12" i="13" s="1"/>
  <c r="AQ7" i="13"/>
  <c r="AU13" i="13"/>
  <c r="AR46" i="13"/>
  <c r="AS47" i="13" s="1"/>
  <c r="AT48" i="13" s="1"/>
  <c r="AU49" i="13" s="1"/>
  <c r="AV50" i="13" s="1"/>
  <c r="AW51" i="13" s="1"/>
  <c r="AX52" i="13" s="1"/>
  <c r="AR25" i="13"/>
  <c r="AR24" i="13"/>
  <c r="AR23" i="13"/>
  <c r="AR27" i="13"/>
  <c r="AR33" i="13"/>
  <c r="AR32" i="13"/>
  <c r="AR37" i="13"/>
  <c r="AR45" i="13"/>
  <c r="AR36" i="13"/>
  <c r="AR44" i="13"/>
  <c r="AR41" i="13"/>
  <c r="AR43" i="13"/>
  <c r="AR35" i="13"/>
  <c r="AR21" i="13"/>
  <c r="AR39" i="13"/>
  <c r="AR40" i="13"/>
  <c r="AR42" i="13"/>
  <c r="AR38" i="13"/>
  <c r="AR30" i="13"/>
  <c r="AR29" i="13"/>
  <c r="AR22" i="13"/>
  <c r="AR31" i="13"/>
  <c r="AR34" i="13"/>
  <c r="AR28" i="13"/>
  <c r="AR26" i="13"/>
  <c r="AR20" i="13"/>
  <c r="AR19" i="13"/>
  <c r="AR18" i="13"/>
  <c r="AR17" i="13"/>
  <c r="AS46" i="13" l="1"/>
  <c r="AT47" i="13" s="1"/>
  <c r="AU48" i="13" s="1"/>
  <c r="AV49" i="13" s="1"/>
  <c r="AW50" i="13" s="1"/>
  <c r="AX51" i="13" s="1"/>
  <c r="AY52" i="13" s="1"/>
  <c r="AX53" i="13"/>
  <c r="AY54" i="13" s="1"/>
  <c r="AZ55" i="13" s="1"/>
  <c r="AR7" i="13"/>
  <c r="AR8" i="13"/>
  <c r="AS9" i="13" s="1"/>
  <c r="AT10" i="13" s="1"/>
  <c r="AU11" i="13" s="1"/>
  <c r="AV12" i="13" s="1"/>
  <c r="AS24" i="13"/>
  <c r="AS23" i="13"/>
  <c r="AS32" i="13"/>
  <c r="AS36" i="13"/>
  <c r="AS45" i="13"/>
  <c r="AT46" i="13" s="1"/>
  <c r="AU47" i="13" s="1"/>
  <c r="AV48" i="13" s="1"/>
  <c r="AW49" i="13" s="1"/>
  <c r="AX50" i="13" s="1"/>
  <c r="AY51" i="13" s="1"/>
  <c r="AS43" i="13"/>
  <c r="AS44" i="13"/>
  <c r="AS35" i="13"/>
  <c r="AS42" i="13"/>
  <c r="AS27" i="13"/>
  <c r="AS22" i="13"/>
  <c r="AS34" i="13"/>
  <c r="AS41" i="13"/>
  <c r="AS21" i="13"/>
  <c r="AS33" i="13"/>
  <c r="AS40" i="13"/>
  <c r="AS29" i="13"/>
  <c r="AS39" i="13"/>
  <c r="AS20" i="13"/>
  <c r="AS38" i="13"/>
  <c r="AS37" i="13"/>
  <c r="AS30" i="13"/>
  <c r="AS26" i="13"/>
  <c r="AS28" i="13"/>
  <c r="AS19" i="13"/>
  <c r="AS31" i="13"/>
  <c r="AS18" i="13"/>
  <c r="AS17" i="13"/>
  <c r="AS16" i="13"/>
  <c r="AS25" i="13"/>
  <c r="AT32" i="13" l="1"/>
  <c r="AY53" i="13"/>
  <c r="AZ54" i="13" s="1"/>
  <c r="BA55" i="13" s="1"/>
  <c r="AS8" i="13"/>
  <c r="AT9" i="13" s="1"/>
  <c r="AU10" i="13" s="1"/>
  <c r="AV11" i="13" s="1"/>
  <c r="AS7" i="13"/>
  <c r="AT45" i="13"/>
  <c r="AU46" i="13" s="1"/>
  <c r="AV47" i="13" s="1"/>
  <c r="AW48" i="13" s="1"/>
  <c r="AX49" i="13" s="1"/>
  <c r="AY50" i="13" s="1"/>
  <c r="AZ51" i="13" s="1"/>
  <c r="AT23" i="13"/>
  <c r="AT35" i="13"/>
  <c r="AT36" i="13"/>
  <c r="AT43" i="13"/>
  <c r="AT42" i="13"/>
  <c r="AT44" i="13"/>
  <c r="AT22" i="13"/>
  <c r="AT21" i="13"/>
  <c r="AT34" i="13"/>
  <c r="AT33" i="13"/>
  <c r="AT28" i="13"/>
  <c r="AT40" i="13"/>
  <c r="AT25" i="13"/>
  <c r="AT18" i="13"/>
  <c r="AT41" i="13"/>
  <c r="AT20" i="13"/>
  <c r="AT39" i="13"/>
  <c r="AT31" i="13"/>
  <c r="AT38" i="13"/>
  <c r="AT37" i="13"/>
  <c r="AT19" i="13"/>
  <c r="AT29" i="13"/>
  <c r="AT30" i="13"/>
  <c r="AT27" i="13"/>
  <c r="AT17" i="13"/>
  <c r="AT15" i="13"/>
  <c r="AT16" i="13"/>
  <c r="AT26" i="13"/>
  <c r="AT24" i="13"/>
  <c r="AZ53" i="13" l="1"/>
  <c r="BA54" i="13" s="1"/>
  <c r="BB55" i="13" s="1"/>
  <c r="AZ52" i="13"/>
  <c r="AT8" i="13"/>
  <c r="AU9" i="13" s="1"/>
  <c r="AV10" i="13" s="1"/>
  <c r="AW11" i="13" s="1"/>
  <c r="AT7" i="13"/>
  <c r="AU35" i="13"/>
  <c r="AU36" i="13"/>
  <c r="AU45" i="13"/>
  <c r="AV46" i="13" s="1"/>
  <c r="AW47" i="13" s="1"/>
  <c r="AX48" i="13" s="1"/>
  <c r="AY49" i="13" s="1"/>
  <c r="AZ50" i="13" s="1"/>
  <c r="BA51" i="13" s="1"/>
  <c r="AU22" i="13"/>
  <c r="AU42" i="13"/>
  <c r="AU24" i="13"/>
  <c r="AU21" i="13"/>
  <c r="AU33" i="13"/>
  <c r="AU43" i="13"/>
  <c r="AU34" i="13"/>
  <c r="AU44" i="13"/>
  <c r="AU32" i="13"/>
  <c r="AU40" i="13"/>
  <c r="AU31" i="13"/>
  <c r="AU39" i="13"/>
  <c r="AU41" i="13"/>
  <c r="AU20" i="13"/>
  <c r="AU17" i="13"/>
  <c r="AU28" i="13"/>
  <c r="AU19" i="13"/>
  <c r="AU30" i="13"/>
  <c r="AU37" i="13"/>
  <c r="AU29" i="13"/>
  <c r="AU38" i="13"/>
  <c r="AU27" i="13"/>
  <c r="AU18" i="13"/>
  <c r="AU16" i="13"/>
  <c r="AU14" i="13"/>
  <c r="AU15" i="13"/>
  <c r="AU25" i="13"/>
  <c r="AU23" i="13"/>
  <c r="AU26" i="13"/>
  <c r="AV35" i="13" l="1"/>
  <c r="BA53" i="13"/>
  <c r="BB54" i="13" s="1"/>
  <c r="BC55" i="13" s="1"/>
  <c r="BA52" i="13"/>
  <c r="BB53" i="13" s="1"/>
  <c r="BC54" i="13" s="1"/>
  <c r="BD55" i="13" s="1"/>
  <c r="AU7" i="13"/>
  <c r="AU8" i="13"/>
  <c r="AV9" i="13" s="1"/>
  <c r="AW10" i="13" s="1"/>
  <c r="AV45" i="13"/>
  <c r="AW46" i="13" s="1"/>
  <c r="AX47" i="13" s="1"/>
  <c r="AY48" i="13" s="1"/>
  <c r="AZ49" i="13" s="1"/>
  <c r="BA50" i="13" s="1"/>
  <c r="AV21" i="13"/>
  <c r="AV34" i="13"/>
  <c r="AV33" i="13"/>
  <c r="AV42" i="13"/>
  <c r="AV27" i="13"/>
  <c r="AV31" i="13"/>
  <c r="AV32" i="13"/>
  <c r="AV39" i="13"/>
  <c r="AV44" i="13"/>
  <c r="AV43" i="13"/>
  <c r="AV29" i="13"/>
  <c r="AV38" i="13"/>
  <c r="AV19" i="13"/>
  <c r="AV28" i="13"/>
  <c r="AV20" i="13"/>
  <c r="AV40" i="13"/>
  <c r="AV41" i="13"/>
  <c r="AV37" i="13"/>
  <c r="AV36" i="13"/>
  <c r="AV16" i="13"/>
  <c r="AV30" i="13"/>
  <c r="AV18" i="13"/>
  <c r="AV17" i="13"/>
  <c r="AV24" i="13"/>
  <c r="AV25" i="13"/>
  <c r="AV26" i="13"/>
  <c r="AV15" i="13"/>
  <c r="AV13" i="13"/>
  <c r="AV14" i="13"/>
  <c r="AV22" i="13"/>
  <c r="AV23" i="13"/>
  <c r="BB52" i="13" l="1"/>
  <c r="BC53" i="13" s="1"/>
  <c r="BD54" i="13" s="1"/>
  <c r="BE55" i="13" s="1"/>
  <c r="BF55" i="13" s="1"/>
  <c r="C55" i="13" s="1"/>
  <c r="A55" i="13" s="1"/>
  <c r="BB51" i="13"/>
  <c r="BC52" i="13" s="1"/>
  <c r="BD53" i="13" s="1"/>
  <c r="BE54" i="13" s="1"/>
  <c r="BF54" i="13" s="1"/>
  <c r="C54" i="13" s="1"/>
  <c r="A54" i="13" s="1"/>
  <c r="AV7" i="13"/>
  <c r="AV8" i="13"/>
  <c r="AW9" i="13" s="1"/>
  <c r="AX10" i="13" s="1"/>
  <c r="AW34" i="13"/>
  <c r="AW35" i="13"/>
  <c r="AW45" i="13"/>
  <c r="AX46" i="13" s="1"/>
  <c r="AY47" i="13" s="1"/>
  <c r="AZ48" i="13" s="1"/>
  <c r="BA49" i="13" s="1"/>
  <c r="BB50" i="13" s="1"/>
  <c r="BC51" i="13" s="1"/>
  <c r="BD52" i="13" s="1"/>
  <c r="BE53" i="13" s="1"/>
  <c r="BF53" i="13" s="1"/>
  <c r="C53" i="13" s="1"/>
  <c r="A53" i="13" s="1"/>
  <c r="AW44" i="13"/>
  <c r="AW32" i="13"/>
  <c r="AW33" i="13"/>
  <c r="AW31" i="13"/>
  <c r="AW20" i="13"/>
  <c r="AW27" i="13"/>
  <c r="AW28" i="13"/>
  <c r="AW38" i="13"/>
  <c r="AW42" i="13"/>
  <c r="AW43" i="13"/>
  <c r="AW19" i="13"/>
  <c r="AW41" i="13"/>
  <c r="AW21" i="13"/>
  <c r="AW39" i="13"/>
  <c r="AW40" i="13"/>
  <c r="AW18" i="13"/>
  <c r="AW30" i="13"/>
  <c r="AW37" i="13"/>
  <c r="AW36" i="13"/>
  <c r="AW29" i="13"/>
  <c r="AW24" i="13"/>
  <c r="AW16" i="13"/>
  <c r="AW17" i="13"/>
  <c r="AW26" i="13"/>
  <c r="AW22" i="13"/>
  <c r="AW23" i="13"/>
  <c r="AW14" i="13"/>
  <c r="AW12" i="13"/>
  <c r="AW13" i="13"/>
  <c r="AW15" i="13"/>
  <c r="AW25" i="13"/>
  <c r="AW8" i="13" l="1"/>
  <c r="AX9" i="13" s="1"/>
  <c r="AW7" i="13"/>
  <c r="AX44" i="13"/>
  <c r="AX45" i="13"/>
  <c r="AY46" i="13" s="1"/>
  <c r="AZ47" i="13" s="1"/>
  <c r="BA48" i="13" s="1"/>
  <c r="BB49" i="13" s="1"/>
  <c r="BC50" i="13" s="1"/>
  <c r="BD51" i="13" s="1"/>
  <c r="BE52" i="13" s="1"/>
  <c r="BF52" i="13" s="1"/>
  <c r="C52" i="13" s="1"/>
  <c r="A52" i="13" s="1"/>
  <c r="AX31" i="13"/>
  <c r="AX32" i="13"/>
  <c r="AX19" i="13"/>
  <c r="AX34" i="13"/>
  <c r="AX28" i="13"/>
  <c r="AX20" i="13"/>
  <c r="AX33" i="13"/>
  <c r="AX42" i="13"/>
  <c r="AX27" i="13"/>
  <c r="AX41" i="13"/>
  <c r="AX43" i="13"/>
  <c r="AX18" i="13"/>
  <c r="AX38" i="13"/>
  <c r="AX37" i="13"/>
  <c r="AX23" i="13"/>
  <c r="AX39" i="13"/>
  <c r="AX40" i="13"/>
  <c r="AX25" i="13"/>
  <c r="AX35" i="13"/>
  <c r="AX17" i="13"/>
  <c r="AX30" i="13"/>
  <c r="AX29" i="13"/>
  <c r="AX36" i="13"/>
  <c r="AX16" i="13"/>
  <c r="AX13" i="13"/>
  <c r="AX11" i="13"/>
  <c r="AX12" i="13"/>
  <c r="AX21" i="13"/>
  <c r="AX15" i="13"/>
  <c r="AX26" i="13"/>
  <c r="AX14" i="13"/>
  <c r="AX24" i="13"/>
  <c r="AX22" i="13"/>
  <c r="AX7" i="13" l="1"/>
  <c r="AX8" i="13"/>
  <c r="AY9" i="13" s="1"/>
  <c r="AY31" i="13"/>
  <c r="AY44" i="13"/>
  <c r="AY45" i="13"/>
  <c r="AZ46" i="13" s="1"/>
  <c r="BA47" i="13" s="1"/>
  <c r="BB48" i="13" s="1"/>
  <c r="BC49" i="13" s="1"/>
  <c r="BD50" i="13" s="1"/>
  <c r="BE51" i="13" s="1"/>
  <c r="BF51" i="13" s="1"/>
  <c r="C51" i="13" s="1"/>
  <c r="A51" i="13" s="1"/>
  <c r="AY28" i="13"/>
  <c r="AY27" i="13"/>
  <c r="AY34" i="13"/>
  <c r="AY33" i="13"/>
  <c r="AY19" i="13"/>
  <c r="AY32" i="13"/>
  <c r="AY20" i="13"/>
  <c r="AY41" i="13"/>
  <c r="AY37" i="13"/>
  <c r="AY18" i="13"/>
  <c r="AY17" i="13"/>
  <c r="AY24" i="13"/>
  <c r="AY42" i="13"/>
  <c r="AY43" i="13"/>
  <c r="AY39" i="13"/>
  <c r="AY21" i="13"/>
  <c r="AY40" i="13"/>
  <c r="AY38" i="13"/>
  <c r="AY30" i="13"/>
  <c r="AY35" i="13"/>
  <c r="AY36" i="13"/>
  <c r="AY29" i="13"/>
  <c r="AY15" i="13"/>
  <c r="AY16" i="13"/>
  <c r="AY26" i="13"/>
  <c r="AZ27" i="13" s="1"/>
  <c r="AY13" i="13"/>
  <c r="AY23" i="13"/>
  <c r="AY22" i="13"/>
  <c r="AY12" i="13"/>
  <c r="AY11" i="13"/>
  <c r="AY10" i="13"/>
  <c r="AY25" i="13"/>
  <c r="AY14" i="13"/>
  <c r="AY7" i="13" l="1"/>
  <c r="AY8" i="13"/>
  <c r="AZ44" i="13"/>
  <c r="AZ32" i="13"/>
  <c r="AZ45" i="13"/>
  <c r="BA46" i="13" s="1"/>
  <c r="BB47" i="13" s="1"/>
  <c r="BC48" i="13" s="1"/>
  <c r="BD49" i="13" s="1"/>
  <c r="BE50" i="13" s="1"/>
  <c r="BF50" i="13" s="1"/>
  <c r="C50" i="13" s="1"/>
  <c r="A50" i="13" s="1"/>
  <c r="AZ34" i="13"/>
  <c r="AZ31" i="13"/>
  <c r="AZ19" i="13"/>
  <c r="AZ33" i="13"/>
  <c r="AZ20" i="13"/>
  <c r="AZ18" i="13"/>
  <c r="AZ17" i="13"/>
  <c r="AZ41" i="13"/>
  <c r="AZ43" i="13"/>
  <c r="AZ42" i="13"/>
  <c r="AZ30" i="13"/>
  <c r="AZ40" i="13"/>
  <c r="AZ39" i="13"/>
  <c r="AZ24" i="13"/>
  <c r="AZ38" i="13"/>
  <c r="AZ25" i="13"/>
  <c r="AZ37" i="13"/>
  <c r="AZ36" i="13"/>
  <c r="AZ29" i="13"/>
  <c r="AZ35" i="13"/>
  <c r="AZ15" i="13"/>
  <c r="AZ23" i="13"/>
  <c r="AZ28" i="13"/>
  <c r="AZ14" i="13"/>
  <c r="AZ21" i="13"/>
  <c r="AZ16" i="13"/>
  <c r="AZ13" i="13"/>
  <c r="AZ12" i="13"/>
  <c r="AZ11" i="13"/>
  <c r="AZ10" i="13"/>
  <c r="AZ9" i="13"/>
  <c r="AZ26" i="13"/>
  <c r="AZ22" i="13"/>
  <c r="AZ7" i="13" l="1"/>
  <c r="AZ8" i="13"/>
  <c r="BA44" i="13"/>
  <c r="BA45" i="13"/>
  <c r="BB46" i="13" s="1"/>
  <c r="BC47" i="13" s="1"/>
  <c r="BD48" i="13" s="1"/>
  <c r="BE49" i="13" s="1"/>
  <c r="BF49" i="13" s="1"/>
  <c r="C49" i="13" s="1"/>
  <c r="A49" i="13" s="1"/>
  <c r="BA19" i="13"/>
  <c r="BA31" i="13"/>
  <c r="BA32" i="13"/>
  <c r="BA33" i="13"/>
  <c r="BA18" i="13"/>
  <c r="BA20" i="13"/>
  <c r="BA43" i="13"/>
  <c r="BA30" i="13"/>
  <c r="BA41" i="13"/>
  <c r="BA37" i="13"/>
  <c r="BA40" i="13"/>
  <c r="BA42" i="13"/>
  <c r="BA29" i="13"/>
  <c r="BA39" i="13"/>
  <c r="BA36" i="13"/>
  <c r="BA16" i="13"/>
  <c r="BA24" i="13"/>
  <c r="BA38" i="13"/>
  <c r="BA12" i="13"/>
  <c r="BA35" i="13"/>
  <c r="BA23" i="13"/>
  <c r="BA34" i="13"/>
  <c r="BA27" i="13"/>
  <c r="BA17" i="13"/>
  <c r="BA15" i="13"/>
  <c r="BA13" i="13"/>
  <c r="BA28" i="13"/>
  <c r="BA14" i="13"/>
  <c r="BA11" i="13"/>
  <c r="BA22" i="13"/>
  <c r="BA10" i="13"/>
  <c r="BA8" i="13"/>
  <c r="BA9" i="13"/>
  <c r="BA25" i="13"/>
  <c r="BA21" i="13"/>
  <c r="BA26" i="13"/>
  <c r="BA7" i="13" l="1"/>
  <c r="BB43" i="13"/>
  <c r="BB44" i="13"/>
  <c r="BB18" i="13"/>
  <c r="BB32" i="13"/>
  <c r="BB30" i="13"/>
  <c r="BB45" i="13"/>
  <c r="BC46" i="13" s="1"/>
  <c r="BD47" i="13" s="1"/>
  <c r="BE48" i="13" s="1"/>
  <c r="BF48" i="13" s="1"/>
  <c r="C48" i="13" s="1"/>
  <c r="A48" i="13" s="1"/>
  <c r="BB31" i="13"/>
  <c r="BB19" i="13"/>
  <c r="BB40" i="13"/>
  <c r="BB36" i="13"/>
  <c r="BB39" i="13"/>
  <c r="BB41" i="13"/>
  <c r="BB29" i="13"/>
  <c r="BB42" i="13"/>
  <c r="BC43" i="13" s="1"/>
  <c r="BB15" i="13"/>
  <c r="BB11" i="13"/>
  <c r="BB23" i="13"/>
  <c r="BB38" i="13"/>
  <c r="BB14" i="13"/>
  <c r="BB37" i="13"/>
  <c r="BB17" i="13"/>
  <c r="BB35" i="13"/>
  <c r="BB34" i="13"/>
  <c r="BB33" i="13"/>
  <c r="BB16" i="13"/>
  <c r="BB27" i="13"/>
  <c r="BB13" i="13"/>
  <c r="BB28" i="13"/>
  <c r="BB12" i="13"/>
  <c r="BB22" i="13"/>
  <c r="BB26" i="13"/>
  <c r="BB20" i="13"/>
  <c r="BB25" i="13"/>
  <c r="BB9" i="13"/>
  <c r="BB8" i="13"/>
  <c r="BB7" i="13"/>
  <c r="BB21" i="13"/>
  <c r="BB24" i="13"/>
  <c r="BB10" i="13"/>
  <c r="BC31" i="13" l="1"/>
  <c r="BC44" i="13"/>
  <c r="BC45" i="13"/>
  <c r="BD46" i="13" s="1"/>
  <c r="BE47" i="13" s="1"/>
  <c r="BF47" i="13" s="1"/>
  <c r="C47" i="13" s="1"/>
  <c r="A47" i="13" s="1"/>
  <c r="BC30" i="13"/>
  <c r="BC18" i="13"/>
  <c r="BC40" i="13"/>
  <c r="BC39" i="13"/>
  <c r="BC12" i="13"/>
  <c r="BC35" i="13"/>
  <c r="BC37" i="13"/>
  <c r="BC17" i="13"/>
  <c r="BC29" i="13"/>
  <c r="BC36" i="13"/>
  <c r="BC42" i="13"/>
  <c r="BD43" i="13" s="1"/>
  <c r="BC41" i="13"/>
  <c r="BC22" i="13"/>
  <c r="BC11" i="13"/>
  <c r="BC16" i="13"/>
  <c r="BC15" i="13"/>
  <c r="BC14" i="13"/>
  <c r="BC38" i="13"/>
  <c r="BC27" i="13"/>
  <c r="BC34" i="13"/>
  <c r="BC33" i="13"/>
  <c r="BC32" i="13"/>
  <c r="BC26" i="13"/>
  <c r="BC13" i="13"/>
  <c r="BC28" i="13"/>
  <c r="BC25" i="13"/>
  <c r="BC24" i="13"/>
  <c r="BC10" i="13"/>
  <c r="BC8" i="13"/>
  <c r="BC7" i="13"/>
  <c r="BC23" i="13"/>
  <c r="BC21" i="13"/>
  <c r="BC20" i="13"/>
  <c r="BC19" i="13"/>
  <c r="BC9" i="13"/>
  <c r="BD44" i="13" l="1"/>
  <c r="BD30" i="13"/>
  <c r="BD45" i="13"/>
  <c r="BE46" i="13" s="1"/>
  <c r="BF46" i="13" s="1"/>
  <c r="C46" i="13" s="1"/>
  <c r="A46" i="13" s="1"/>
  <c r="BD39" i="13"/>
  <c r="BD29" i="13"/>
  <c r="BD36" i="13"/>
  <c r="BD17" i="13"/>
  <c r="BD35" i="13"/>
  <c r="BD42" i="13"/>
  <c r="BE43" i="13" s="1"/>
  <c r="BF43" i="13" s="1"/>
  <c r="C43" i="13" s="1"/>
  <c r="A43" i="13" s="1"/>
  <c r="BD12" i="13"/>
  <c r="BD34" i="13"/>
  <c r="BD15" i="13"/>
  <c r="BD11" i="13"/>
  <c r="BD37" i="13"/>
  <c r="BD16" i="13"/>
  <c r="BD41" i="13"/>
  <c r="BD14" i="13"/>
  <c r="BD40" i="13"/>
  <c r="BD28" i="13"/>
  <c r="BD38" i="13"/>
  <c r="BD25" i="13"/>
  <c r="BD24" i="13"/>
  <c r="BD26" i="13"/>
  <c r="BD33" i="13"/>
  <c r="BD31" i="13"/>
  <c r="BD32" i="13"/>
  <c r="BD13" i="13"/>
  <c r="BD10" i="13"/>
  <c r="BD22" i="13"/>
  <c r="BD27" i="13"/>
  <c r="BD20" i="13"/>
  <c r="BD19" i="13"/>
  <c r="BD8" i="13"/>
  <c r="BD7" i="13"/>
  <c r="BD9" i="13"/>
  <c r="BD23" i="13"/>
  <c r="BD21" i="13"/>
  <c r="BD18" i="13"/>
  <c r="BE36" i="13" l="1"/>
  <c r="BF36" i="13" s="1"/>
  <c r="C36" i="13" s="1"/>
  <c r="A36" i="13" s="1"/>
  <c r="BE44" i="13"/>
  <c r="BF44" i="13" s="1"/>
  <c r="C44" i="13" s="1"/>
  <c r="A44" i="13" s="1"/>
  <c r="BE29" i="13"/>
  <c r="BF29" i="13" s="1"/>
  <c r="C29" i="13" s="1"/>
  <c r="A29" i="13" s="1"/>
  <c r="BE45" i="13"/>
  <c r="BF45" i="13" s="1"/>
  <c r="C45" i="13" s="1"/>
  <c r="A45" i="13" s="1"/>
  <c r="BE34" i="13"/>
  <c r="BF34" i="13" s="1"/>
  <c r="C34" i="13" s="1"/>
  <c r="A34" i="13" s="1"/>
  <c r="BE35" i="13"/>
  <c r="BF35" i="13" s="1"/>
  <c r="C35" i="13" s="1"/>
  <c r="A35" i="13" s="1"/>
  <c r="BE42" i="13"/>
  <c r="BF42" i="13" s="1"/>
  <c r="C42" i="13" s="1"/>
  <c r="A42" i="13" s="1"/>
  <c r="BE28" i="13"/>
  <c r="BF28" i="13" s="1"/>
  <c r="C28" i="13" s="1"/>
  <c r="A28" i="13" s="1"/>
  <c r="BE16" i="13"/>
  <c r="BF16" i="13" s="1"/>
  <c r="BE11" i="13"/>
  <c r="BF11" i="13" s="1"/>
  <c r="BE15" i="13"/>
  <c r="BF15" i="13" s="1"/>
  <c r="BE12" i="13"/>
  <c r="BF12" i="13" s="1"/>
  <c r="BE24" i="13"/>
  <c r="BF24" i="13" s="1"/>
  <c r="C24" i="13" s="1"/>
  <c r="A24" i="13" s="1"/>
  <c r="BE41" i="13"/>
  <c r="BF41" i="13" s="1"/>
  <c r="C41" i="13" s="1"/>
  <c r="A41" i="13" s="1"/>
  <c r="BE40" i="13"/>
  <c r="BF40" i="13" s="1"/>
  <c r="C40" i="13" s="1"/>
  <c r="A40" i="13" s="1"/>
  <c r="BE39" i="13"/>
  <c r="BF39" i="13" s="1"/>
  <c r="C39" i="13" s="1"/>
  <c r="A39" i="13" s="1"/>
  <c r="BE13" i="13"/>
  <c r="BF13" i="13" s="1"/>
  <c r="BE33" i="13"/>
  <c r="BF33" i="13" s="1"/>
  <c r="C33" i="13" s="1"/>
  <c r="A33" i="13" s="1"/>
  <c r="BE10" i="13"/>
  <c r="BF10" i="13" s="1"/>
  <c r="BE38" i="13"/>
  <c r="BF38" i="13" s="1"/>
  <c r="C38" i="13" s="1"/>
  <c r="A38" i="13" s="1"/>
  <c r="BE37" i="13"/>
  <c r="BF37" i="13" s="1"/>
  <c r="C37" i="13" s="1"/>
  <c r="A37" i="13" s="1"/>
  <c r="BE32" i="13"/>
  <c r="BF32" i="13" s="1"/>
  <c r="C32" i="13" s="1"/>
  <c r="A32" i="13" s="1"/>
  <c r="BE31" i="13"/>
  <c r="BF31" i="13" s="1"/>
  <c r="BE30" i="13"/>
  <c r="BF30" i="13" s="1"/>
  <c r="C30" i="13" s="1"/>
  <c r="A30" i="13" s="1"/>
  <c r="BE14" i="13"/>
  <c r="BF14" i="13" s="1"/>
  <c r="BE25" i="13"/>
  <c r="BF25" i="13" s="1"/>
  <c r="C25" i="13" s="1"/>
  <c r="A25" i="13" s="1"/>
  <c r="BE19" i="13"/>
  <c r="BF19" i="13" s="1"/>
  <c r="BE26" i="13"/>
  <c r="BF26" i="13" s="1"/>
  <c r="C26" i="13" s="1"/>
  <c r="A26" i="13" s="1"/>
  <c r="BE27" i="13"/>
  <c r="BF27" i="13" s="1"/>
  <c r="C27" i="13" s="1"/>
  <c r="A27" i="13" s="1"/>
  <c r="BE18" i="13"/>
  <c r="BF18" i="13" s="1"/>
  <c r="BE9" i="13"/>
  <c r="BF9" i="13" s="1"/>
  <c r="BE20" i="13"/>
  <c r="BF20" i="13" s="1"/>
  <c r="BE21" i="13"/>
  <c r="BF21" i="13" s="1"/>
  <c r="BE7" i="13"/>
  <c r="BF7" i="13" s="1"/>
  <c r="BE8" i="13"/>
  <c r="BF8" i="13" s="1"/>
  <c r="BE17" i="13"/>
  <c r="BF17" i="13" s="1"/>
  <c r="BE22" i="13"/>
  <c r="BF22" i="13" s="1"/>
  <c r="BE23" i="13"/>
  <c r="BF23" i="13" s="1"/>
  <c r="B18" i="10" l="1"/>
  <c r="F3" i="10"/>
  <c r="W3" i="10"/>
  <c r="X3" i="10"/>
  <c r="Y3" i="10"/>
  <c r="Z3" i="10"/>
  <c r="AA3" i="10"/>
  <c r="AB3" i="10"/>
  <c r="AC3" i="10"/>
  <c r="AD3" i="10"/>
  <c r="AE3" i="10"/>
  <c r="B16" i="10" l="1"/>
  <c r="B17" i="10"/>
  <c r="C31" i="13" l="1"/>
  <c r="A31" i="13" s="1"/>
  <c r="U2" i="10"/>
  <c r="B2" i="10"/>
  <c r="B13" i="10" s="1"/>
  <c r="B14" i="10" l="1"/>
  <c r="I2" i="10"/>
  <c r="O2" i="10"/>
  <c r="J2" i="10"/>
  <c r="P2" i="10"/>
  <c r="K2" i="10"/>
  <c r="Q2" i="10"/>
  <c r="N2" i="10"/>
  <c r="L2" i="10"/>
  <c r="H2" i="10"/>
  <c r="M2" i="10"/>
  <c r="F17" i="10" l="1"/>
  <c r="F4" i="10"/>
  <c r="T17" i="10"/>
  <c r="Q17" i="10"/>
  <c r="Q3" i="10"/>
  <c r="T3" i="10"/>
  <c r="AG3" i="10" s="1"/>
  <c r="F5" i="10"/>
  <c r="F23" i="10"/>
  <c r="F7" i="10"/>
  <c r="G3" i="10"/>
  <c r="V3" i="10" s="1"/>
  <c r="F10" i="10"/>
  <c r="F8" i="10"/>
  <c r="F18" i="10"/>
  <c r="F14" i="10"/>
  <c r="F20" i="10"/>
  <c r="F11" i="10"/>
  <c r="F13" i="10"/>
  <c r="F15" i="10"/>
  <c r="F9" i="10"/>
  <c r="F21" i="10"/>
  <c r="F16" i="10"/>
  <c r="F6" i="10"/>
  <c r="F19" i="10"/>
  <c r="F22" i="10"/>
  <c r="F12" i="10"/>
  <c r="U26" i="10" l="1"/>
  <c r="S3" i="10"/>
  <c r="U3" i="10" s="1"/>
  <c r="S17" i="10"/>
  <c r="U17" i="10" s="1"/>
  <c r="Q12" i="10"/>
  <c r="T12" i="10"/>
  <c r="T9" i="10"/>
  <c r="Q9" i="10"/>
  <c r="Q18" i="10"/>
  <c r="T18" i="10"/>
  <c r="Q23" i="10"/>
  <c r="T23" i="10"/>
  <c r="Q22" i="10"/>
  <c r="T22" i="10"/>
  <c r="T15" i="10"/>
  <c r="Q15" i="10"/>
  <c r="T8" i="10"/>
  <c r="Q8" i="10"/>
  <c r="Q5" i="10"/>
  <c r="T5" i="10"/>
  <c r="T21" i="10"/>
  <c r="Q21" i="10"/>
  <c r="Q4" i="10"/>
  <c r="T4" i="10"/>
  <c r="T19" i="10"/>
  <c r="Q19" i="10"/>
  <c r="T13" i="10"/>
  <c r="Q13" i="10"/>
  <c r="T10" i="10"/>
  <c r="Q10" i="10"/>
  <c r="T11" i="10"/>
  <c r="Q11" i="10"/>
  <c r="T14" i="10"/>
  <c r="Q14" i="10"/>
  <c r="Q6" i="10"/>
  <c r="T6" i="10"/>
  <c r="Q16" i="10"/>
  <c r="T16" i="10"/>
  <c r="T20" i="10"/>
  <c r="Q20" i="10"/>
  <c r="T7" i="10"/>
  <c r="Q7" i="10"/>
  <c r="B38" i="3"/>
  <c r="B39" i="3"/>
  <c r="A41" i="3"/>
  <c r="B41" i="3"/>
  <c r="L17" i="8"/>
  <c r="U25" i="10" l="1"/>
  <c r="S21" i="10"/>
  <c r="U21" i="10" s="1"/>
  <c r="S11" i="10"/>
  <c r="U11" i="10" s="1"/>
  <c r="S9" i="10"/>
  <c r="U9" i="10" s="1"/>
  <c r="S18" i="10"/>
  <c r="U18" i="10" s="1"/>
  <c r="S20" i="10"/>
  <c r="U20" i="10" s="1"/>
  <c r="S14" i="10"/>
  <c r="U14" i="10" s="1"/>
  <c r="S13" i="10"/>
  <c r="U13" i="10" s="1"/>
  <c r="S15" i="10"/>
  <c r="U15" i="10" s="1"/>
  <c r="S16" i="10"/>
  <c r="U16" i="10" s="1"/>
  <c r="S5" i="10"/>
  <c r="U5" i="10" s="1"/>
  <c r="S22" i="10"/>
  <c r="U22" i="10" s="1"/>
  <c r="S19" i="10"/>
  <c r="U19" i="10" s="1"/>
  <c r="S6" i="10"/>
  <c r="U6" i="10" s="1"/>
  <c r="S4" i="10"/>
  <c r="U4" i="10" s="1"/>
  <c r="U27" i="10"/>
  <c r="S23" i="10"/>
  <c r="U23" i="10" s="1"/>
  <c r="S12" i="10"/>
  <c r="U12" i="10" s="1"/>
  <c r="S7" i="10"/>
  <c r="U7" i="10" s="1"/>
  <c r="S10" i="10"/>
  <c r="U10" i="10" s="1"/>
  <c r="S8" i="10"/>
  <c r="U8" i="10" s="1"/>
  <c r="G23" i="10"/>
  <c r="AE23" i="10" s="1"/>
  <c r="AG23" i="10" s="1"/>
  <c r="L23" i="10"/>
  <c r="Z23" i="10" s="1"/>
  <c r="N23" i="10"/>
  <c r="X23" i="10" s="1"/>
  <c r="M23" i="10"/>
  <c r="Y23" i="10" s="1"/>
  <c r="J23" i="10"/>
  <c r="AB23" i="10" s="1"/>
  <c r="I23" i="10"/>
  <c r="AC23" i="10" s="1"/>
  <c r="H23" i="10"/>
  <c r="AD23" i="10" s="1"/>
  <c r="K23" i="10"/>
  <c r="AA23" i="10" s="1"/>
  <c r="O23" i="10"/>
  <c r="W23" i="10" s="1"/>
  <c r="P23" i="10"/>
  <c r="V23" i="10" s="1"/>
  <c r="D34" i="3"/>
  <c r="V4" i="10" l="1"/>
  <c r="V8" i="10"/>
  <c r="V9" i="10"/>
  <c r="V15" i="10"/>
  <c r="V21" i="10"/>
  <c r="V5" i="10"/>
  <c r="V11" i="10"/>
  <c r="V17" i="10"/>
  <c r="V6" i="10"/>
  <c r="V12" i="10"/>
  <c r="V18" i="10"/>
  <c r="V7" i="10"/>
  <c r="V13" i="10"/>
  <c r="V19" i="10"/>
  <c r="V14" i="10"/>
  <c r="V20" i="10"/>
  <c r="V10" i="10"/>
  <c r="V16" i="10"/>
  <c r="V22" i="10"/>
  <c r="C39" i="3"/>
  <c r="C36" i="3" s="1"/>
  <c r="W18" i="10" l="1"/>
  <c r="W21" i="10"/>
  <c r="W22" i="10"/>
  <c r="W4" i="10"/>
  <c r="W11" i="10"/>
  <c r="W12" i="10"/>
  <c r="W13" i="10"/>
  <c r="W6" i="10"/>
  <c r="W16" i="10"/>
  <c r="W8" i="10"/>
  <c r="W17" i="10"/>
  <c r="W10" i="10"/>
  <c r="W15" i="10"/>
  <c r="W19" i="10"/>
  <c r="W9" i="10"/>
  <c r="W14" i="10"/>
  <c r="W5" i="10"/>
  <c r="W20" i="10"/>
  <c r="W7" i="10"/>
  <c r="B21" i="3"/>
  <c r="B23" i="3" s="1"/>
  <c r="H86" i="3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E35" i="3"/>
  <c r="I55" i="3"/>
  <c r="J54" i="3"/>
  <c r="J20" i="3"/>
  <c r="E21" i="3"/>
  <c r="AC36" i="3"/>
  <c r="I77" i="9"/>
  <c r="I78" i="9" s="1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AD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AD52" i="9"/>
  <c r="AC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AD51" i="9"/>
  <c r="AC51" i="9"/>
  <c r="AB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AD50" i="9"/>
  <c r="AC50" i="9"/>
  <c r="AB50" i="9"/>
  <c r="AA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AD49" i="9"/>
  <c r="AC49" i="9"/>
  <c r="AB49" i="9"/>
  <c r="AA49" i="9"/>
  <c r="Z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AD48" i="9"/>
  <c r="AC48" i="9"/>
  <c r="AB48" i="9"/>
  <c r="AA48" i="9"/>
  <c r="Z48" i="9"/>
  <c r="Y48" i="9"/>
  <c r="U48" i="9"/>
  <c r="T48" i="9"/>
  <c r="S48" i="9"/>
  <c r="R48" i="9"/>
  <c r="Q48" i="9"/>
  <c r="P48" i="9"/>
  <c r="O48" i="9"/>
  <c r="N48" i="9"/>
  <c r="M48" i="9"/>
  <c r="L48" i="9"/>
  <c r="K48" i="9"/>
  <c r="J48" i="9"/>
  <c r="AD47" i="9"/>
  <c r="AC47" i="9"/>
  <c r="AB47" i="9"/>
  <c r="AA47" i="9"/>
  <c r="Z47" i="9"/>
  <c r="Y47" i="9"/>
  <c r="X47" i="9"/>
  <c r="T47" i="9"/>
  <c r="S47" i="9"/>
  <c r="R47" i="9"/>
  <c r="Q47" i="9"/>
  <c r="P47" i="9"/>
  <c r="O47" i="9"/>
  <c r="N47" i="9"/>
  <c r="M47" i="9"/>
  <c r="L47" i="9"/>
  <c r="K47" i="9"/>
  <c r="J47" i="9"/>
  <c r="AD46" i="9"/>
  <c r="AC46" i="9"/>
  <c r="AB46" i="9"/>
  <c r="AA46" i="9"/>
  <c r="Z46" i="9"/>
  <c r="Y46" i="9"/>
  <c r="X46" i="9"/>
  <c r="W46" i="9"/>
  <c r="S46" i="9"/>
  <c r="R46" i="9"/>
  <c r="Q46" i="9"/>
  <c r="P46" i="9"/>
  <c r="O46" i="9"/>
  <c r="N46" i="9"/>
  <c r="M46" i="9"/>
  <c r="L46" i="9"/>
  <c r="K46" i="9"/>
  <c r="J46" i="9"/>
  <c r="AD45" i="9"/>
  <c r="AC45" i="9"/>
  <c r="AB45" i="9"/>
  <c r="AA45" i="9"/>
  <c r="Z45" i="9"/>
  <c r="Y45" i="9"/>
  <c r="X45" i="9"/>
  <c r="W45" i="9"/>
  <c r="V45" i="9"/>
  <c r="R45" i="9"/>
  <c r="Q45" i="9"/>
  <c r="P45" i="9"/>
  <c r="O45" i="9"/>
  <c r="N45" i="9"/>
  <c r="M45" i="9"/>
  <c r="L45" i="9"/>
  <c r="K45" i="9"/>
  <c r="J45" i="9"/>
  <c r="AD44" i="9"/>
  <c r="AC44" i="9"/>
  <c r="AB44" i="9"/>
  <c r="AA44" i="9"/>
  <c r="Z44" i="9"/>
  <c r="Y44" i="9"/>
  <c r="X44" i="9"/>
  <c r="W44" i="9"/>
  <c r="V44" i="9"/>
  <c r="U44" i="9"/>
  <c r="Q44" i="9"/>
  <c r="P44" i="9"/>
  <c r="O44" i="9"/>
  <c r="N44" i="9"/>
  <c r="M44" i="9"/>
  <c r="L44" i="9"/>
  <c r="K44" i="9"/>
  <c r="J44" i="9"/>
  <c r="AD43" i="9"/>
  <c r="AC43" i="9"/>
  <c r="AB43" i="9"/>
  <c r="AA43" i="9"/>
  <c r="Z43" i="9"/>
  <c r="Y43" i="9"/>
  <c r="X43" i="9"/>
  <c r="W43" i="9"/>
  <c r="V43" i="9"/>
  <c r="U43" i="9"/>
  <c r="T43" i="9"/>
  <c r="P43" i="9"/>
  <c r="O43" i="9"/>
  <c r="N43" i="9"/>
  <c r="M43" i="9"/>
  <c r="L43" i="9"/>
  <c r="K43" i="9"/>
  <c r="J43" i="9"/>
  <c r="AD42" i="9"/>
  <c r="AC42" i="9"/>
  <c r="AB42" i="9"/>
  <c r="AA42" i="9"/>
  <c r="Z42" i="9"/>
  <c r="Y42" i="9"/>
  <c r="X42" i="9"/>
  <c r="W42" i="9"/>
  <c r="V42" i="9"/>
  <c r="U42" i="9"/>
  <c r="T42" i="9"/>
  <c r="S42" i="9"/>
  <c r="O42" i="9"/>
  <c r="N42" i="9"/>
  <c r="M42" i="9"/>
  <c r="L42" i="9"/>
  <c r="K42" i="9"/>
  <c r="J42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N41" i="9"/>
  <c r="M41" i="9"/>
  <c r="L41" i="9"/>
  <c r="K41" i="9"/>
  <c r="J41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M40" i="9"/>
  <c r="L40" i="9"/>
  <c r="K40" i="9"/>
  <c r="J40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L39" i="9"/>
  <c r="K39" i="9"/>
  <c r="J39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K38" i="9"/>
  <c r="J38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J37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AD28" i="9"/>
  <c r="J28" i="9"/>
  <c r="AD27" i="9"/>
  <c r="J27" i="9"/>
  <c r="AD26" i="9"/>
  <c r="J26" i="9"/>
  <c r="AD25" i="9"/>
  <c r="J25" i="9"/>
  <c r="AD24" i="9"/>
  <c r="J24" i="9"/>
  <c r="AD23" i="9"/>
  <c r="J23" i="9"/>
  <c r="B23" i="9"/>
  <c r="AD22" i="9"/>
  <c r="J22" i="9"/>
  <c r="AD21" i="9"/>
  <c r="J21" i="9"/>
  <c r="E21" i="9"/>
  <c r="AD20" i="9"/>
  <c r="J20" i="9"/>
  <c r="H20" i="9"/>
  <c r="AD19" i="9"/>
  <c r="J19" i="9"/>
  <c r="B19" i="9"/>
  <c r="K17" i="9"/>
  <c r="L17" i="9" s="1"/>
  <c r="X18" i="10" l="1"/>
  <c r="X22" i="10"/>
  <c r="X16" i="10"/>
  <c r="X12" i="10"/>
  <c r="X11" i="10"/>
  <c r="X10" i="10"/>
  <c r="X9" i="10"/>
  <c r="X17" i="10"/>
  <c r="X6" i="10"/>
  <c r="X8" i="10"/>
  <c r="X5" i="10"/>
  <c r="X7" i="10"/>
  <c r="X20" i="10"/>
  <c r="X21" i="10"/>
  <c r="X4" i="10"/>
  <c r="X14" i="10"/>
  <c r="X15" i="10"/>
  <c r="X13" i="10"/>
  <c r="X19" i="10"/>
  <c r="L77" i="9"/>
  <c r="L55" i="3"/>
  <c r="P55" i="3"/>
  <c r="T55" i="3"/>
  <c r="X55" i="3"/>
  <c r="AB55" i="3"/>
  <c r="M55" i="3"/>
  <c r="Q55" i="3"/>
  <c r="U55" i="3"/>
  <c r="Y55" i="3"/>
  <c r="K55" i="3"/>
  <c r="O55" i="3"/>
  <c r="S55" i="3"/>
  <c r="W55" i="3"/>
  <c r="AA55" i="3"/>
  <c r="V55" i="3"/>
  <c r="J55" i="3"/>
  <c r="Z55" i="3"/>
  <c r="N55" i="3"/>
  <c r="I56" i="3"/>
  <c r="R55" i="3"/>
  <c r="AE45" i="3"/>
  <c r="AE47" i="3"/>
  <c r="AE49" i="3"/>
  <c r="AE51" i="3"/>
  <c r="AE36" i="3"/>
  <c r="AE40" i="3"/>
  <c r="AE44" i="3"/>
  <c r="AE50" i="3"/>
  <c r="AE53" i="3"/>
  <c r="AE37" i="3"/>
  <c r="AE41" i="3"/>
  <c r="AE54" i="3"/>
  <c r="AE38" i="3"/>
  <c r="AE42" i="3"/>
  <c r="AE46" i="3"/>
  <c r="AE52" i="3"/>
  <c r="AE39" i="3"/>
  <c r="AE43" i="3"/>
  <c r="AE48" i="3"/>
  <c r="AF35" i="3"/>
  <c r="M17" i="9"/>
  <c r="L18" i="9"/>
  <c r="L29" i="9" s="1"/>
  <c r="H21" i="9"/>
  <c r="I20" i="9"/>
  <c r="G20" i="9" s="1"/>
  <c r="AC76" i="9" s="1"/>
  <c r="J18" i="9"/>
  <c r="B32" i="9"/>
  <c r="B31" i="9"/>
  <c r="I19" i="9"/>
  <c r="G19" i="9" s="1"/>
  <c r="AE76" i="9" s="1"/>
  <c r="K18" i="9"/>
  <c r="K29" i="9" s="1"/>
  <c r="I79" i="9"/>
  <c r="L78" i="9"/>
  <c r="Y22" i="10" l="1"/>
  <c r="Y17" i="10"/>
  <c r="Y16" i="10"/>
  <c r="Y10" i="10"/>
  <c r="Y11" i="10"/>
  <c r="Y9" i="10"/>
  <c r="Y14" i="10"/>
  <c r="Y8" i="10"/>
  <c r="Y20" i="10"/>
  <c r="Y13" i="10"/>
  <c r="Y18" i="10"/>
  <c r="Y4" i="10"/>
  <c r="Y5" i="10"/>
  <c r="Y6" i="10"/>
  <c r="Y19" i="10"/>
  <c r="Y21" i="10"/>
  <c r="Y7" i="10"/>
  <c r="Y15" i="10"/>
  <c r="Y12" i="10"/>
  <c r="AG35" i="3"/>
  <c r="AF36" i="3"/>
  <c r="AF38" i="3"/>
  <c r="AF40" i="3"/>
  <c r="AF42" i="3"/>
  <c r="AF44" i="3"/>
  <c r="AF37" i="3"/>
  <c r="AF39" i="3"/>
  <c r="AF41" i="3"/>
  <c r="AF43" i="3"/>
  <c r="AF45" i="3"/>
  <c r="AF48" i="3"/>
  <c r="AF55" i="3"/>
  <c r="AF47" i="3"/>
  <c r="AF50" i="3"/>
  <c r="AF53" i="3"/>
  <c r="AF49" i="3"/>
  <c r="AF46" i="3"/>
  <c r="AF51" i="3"/>
  <c r="AF52" i="3"/>
  <c r="AF54" i="3"/>
  <c r="I57" i="3"/>
  <c r="L56" i="3"/>
  <c r="P56" i="3"/>
  <c r="T56" i="3"/>
  <c r="X56" i="3"/>
  <c r="AB56" i="3"/>
  <c r="M56" i="3"/>
  <c r="Q56" i="3"/>
  <c r="U56" i="3"/>
  <c r="Y56" i="3"/>
  <c r="AC56" i="3"/>
  <c r="K56" i="3"/>
  <c r="O56" i="3"/>
  <c r="S56" i="3"/>
  <c r="W56" i="3"/>
  <c r="AA56" i="3"/>
  <c r="R56" i="3"/>
  <c r="V56" i="3"/>
  <c r="J56" i="3"/>
  <c r="Z56" i="3"/>
  <c r="N56" i="3"/>
  <c r="J18" i="3"/>
  <c r="N17" i="9"/>
  <c r="N31" i="9" s="1"/>
  <c r="M39" i="9" s="1"/>
  <c r="I80" i="9"/>
  <c r="M18" i="9"/>
  <c r="M29" i="9" s="1"/>
  <c r="L79" i="9" s="1"/>
  <c r="M33" i="9"/>
  <c r="N38" i="9" s="1"/>
  <c r="K33" i="9"/>
  <c r="L36" i="9" s="1"/>
  <c r="L33" i="9"/>
  <c r="M37" i="9" s="1"/>
  <c r="M31" i="9"/>
  <c r="L38" i="9" s="1"/>
  <c r="L31" i="9"/>
  <c r="K37" i="9" s="1"/>
  <c r="K31" i="9"/>
  <c r="J36" i="9" s="1"/>
  <c r="N33" i="9"/>
  <c r="O39" i="9" s="1"/>
  <c r="J29" i="9"/>
  <c r="L32" i="9"/>
  <c r="L37" i="9" s="1"/>
  <c r="M32" i="9"/>
  <c r="M38" i="9" s="1"/>
  <c r="K32" i="9"/>
  <c r="K36" i="9" s="1"/>
  <c r="H22" i="9"/>
  <c r="I21" i="9"/>
  <c r="G21" i="9" s="1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K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K39" i="3"/>
  <c r="L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K40" i="3"/>
  <c r="L40" i="3"/>
  <c r="M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K41" i="3"/>
  <c r="L41" i="3"/>
  <c r="M41" i="3"/>
  <c r="N41" i="3"/>
  <c r="R41" i="3"/>
  <c r="S41" i="3"/>
  <c r="T41" i="3"/>
  <c r="U41" i="3"/>
  <c r="V41" i="3"/>
  <c r="W41" i="3"/>
  <c r="X41" i="3"/>
  <c r="Y41" i="3"/>
  <c r="Z41" i="3"/>
  <c r="AA41" i="3"/>
  <c r="AB41" i="3"/>
  <c r="AC41" i="3"/>
  <c r="K42" i="3"/>
  <c r="L42" i="3"/>
  <c r="M42" i="3"/>
  <c r="N42" i="3"/>
  <c r="O42" i="3"/>
  <c r="S42" i="3"/>
  <c r="T42" i="3"/>
  <c r="U42" i="3"/>
  <c r="V42" i="3"/>
  <c r="W42" i="3"/>
  <c r="X42" i="3"/>
  <c r="Y42" i="3"/>
  <c r="Z42" i="3"/>
  <c r="AA42" i="3"/>
  <c r="AB42" i="3"/>
  <c r="AC42" i="3"/>
  <c r="K43" i="3"/>
  <c r="L43" i="3"/>
  <c r="M43" i="3"/>
  <c r="N43" i="3"/>
  <c r="O43" i="3"/>
  <c r="P43" i="3"/>
  <c r="T43" i="3"/>
  <c r="U43" i="3"/>
  <c r="V43" i="3"/>
  <c r="W43" i="3"/>
  <c r="X43" i="3"/>
  <c r="Y43" i="3"/>
  <c r="Z43" i="3"/>
  <c r="AA43" i="3"/>
  <c r="AB43" i="3"/>
  <c r="AC43" i="3"/>
  <c r="K44" i="3"/>
  <c r="L44" i="3"/>
  <c r="M44" i="3"/>
  <c r="N44" i="3"/>
  <c r="O44" i="3"/>
  <c r="P44" i="3"/>
  <c r="Q44" i="3"/>
  <c r="U44" i="3"/>
  <c r="V44" i="3"/>
  <c r="W44" i="3"/>
  <c r="X44" i="3"/>
  <c r="Y44" i="3"/>
  <c r="Z44" i="3"/>
  <c r="AA44" i="3"/>
  <c r="AB44" i="3"/>
  <c r="AC44" i="3"/>
  <c r="K45" i="3"/>
  <c r="L45" i="3"/>
  <c r="M45" i="3"/>
  <c r="N45" i="3"/>
  <c r="O45" i="3"/>
  <c r="P45" i="3"/>
  <c r="Q45" i="3"/>
  <c r="R45" i="3"/>
  <c r="V45" i="3"/>
  <c r="W45" i="3"/>
  <c r="X45" i="3"/>
  <c r="Y45" i="3"/>
  <c r="Z45" i="3"/>
  <c r="AA45" i="3"/>
  <c r="AB45" i="3"/>
  <c r="AC45" i="3"/>
  <c r="K46" i="3"/>
  <c r="L46" i="3"/>
  <c r="M46" i="3"/>
  <c r="N46" i="3"/>
  <c r="O46" i="3"/>
  <c r="P46" i="3"/>
  <c r="Q46" i="3"/>
  <c r="R46" i="3"/>
  <c r="S46" i="3"/>
  <c r="W46" i="3"/>
  <c r="X46" i="3"/>
  <c r="Y46" i="3"/>
  <c r="Z46" i="3"/>
  <c r="AA46" i="3"/>
  <c r="AB46" i="3"/>
  <c r="AC46" i="3"/>
  <c r="K47" i="3"/>
  <c r="L47" i="3"/>
  <c r="M47" i="3"/>
  <c r="N47" i="3"/>
  <c r="O47" i="3"/>
  <c r="P47" i="3"/>
  <c r="Q47" i="3"/>
  <c r="R47" i="3"/>
  <c r="S47" i="3"/>
  <c r="T47" i="3"/>
  <c r="X47" i="3"/>
  <c r="Y47" i="3"/>
  <c r="Z47" i="3"/>
  <c r="AA47" i="3"/>
  <c r="AB47" i="3"/>
  <c r="AC47" i="3"/>
  <c r="K48" i="3"/>
  <c r="L48" i="3"/>
  <c r="M48" i="3"/>
  <c r="N48" i="3"/>
  <c r="O48" i="3"/>
  <c r="P48" i="3"/>
  <c r="Q48" i="3"/>
  <c r="R48" i="3"/>
  <c r="S48" i="3"/>
  <c r="T48" i="3"/>
  <c r="U48" i="3"/>
  <c r="Y48" i="3"/>
  <c r="Z48" i="3"/>
  <c r="AA48" i="3"/>
  <c r="AB48" i="3"/>
  <c r="AC48" i="3"/>
  <c r="K49" i="3"/>
  <c r="L49" i="3"/>
  <c r="M49" i="3"/>
  <c r="N49" i="3"/>
  <c r="O49" i="3"/>
  <c r="P49" i="3"/>
  <c r="Q49" i="3"/>
  <c r="R49" i="3"/>
  <c r="S49" i="3"/>
  <c r="T49" i="3"/>
  <c r="U49" i="3"/>
  <c r="V49" i="3"/>
  <c r="Z49" i="3"/>
  <c r="AA49" i="3"/>
  <c r="AB49" i="3"/>
  <c r="AC49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AA50" i="3"/>
  <c r="AB50" i="3"/>
  <c r="AC50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AB51" i="3"/>
  <c r="AC51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AC52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I141" i="3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Z22" i="10" l="1"/>
  <c r="Z10" i="10"/>
  <c r="Z18" i="10"/>
  <c r="Z17" i="10"/>
  <c r="Z16" i="10"/>
  <c r="Z9" i="10"/>
  <c r="Z13" i="10"/>
  <c r="Z8" i="10"/>
  <c r="Z14" i="10"/>
  <c r="Z20" i="10"/>
  <c r="Z21" i="10"/>
  <c r="Z15" i="10"/>
  <c r="Z7" i="10"/>
  <c r="Z11" i="10"/>
  <c r="Z6" i="10"/>
  <c r="Z5" i="10"/>
  <c r="Z4" i="10"/>
  <c r="Z12" i="10"/>
  <c r="Z19" i="10"/>
  <c r="I58" i="3"/>
  <c r="AD57" i="3"/>
  <c r="L57" i="3"/>
  <c r="P57" i="3"/>
  <c r="T57" i="3"/>
  <c r="X57" i="3"/>
  <c r="AB57" i="3"/>
  <c r="M57" i="3"/>
  <c r="Q57" i="3"/>
  <c r="U57" i="3"/>
  <c r="Y57" i="3"/>
  <c r="AC57" i="3"/>
  <c r="K57" i="3"/>
  <c r="O57" i="3"/>
  <c r="S57" i="3"/>
  <c r="W57" i="3"/>
  <c r="AA57" i="3"/>
  <c r="N57" i="3"/>
  <c r="R57" i="3"/>
  <c r="V57" i="3"/>
  <c r="Z57" i="3"/>
  <c r="J57" i="3"/>
  <c r="I152" i="3"/>
  <c r="I153" i="3" s="1"/>
  <c r="I154" i="3" s="1"/>
  <c r="I155" i="3" s="1"/>
  <c r="I156" i="3" s="1"/>
  <c r="I157" i="3" s="1"/>
  <c r="I158" i="3" s="1"/>
  <c r="I159" i="3" s="1"/>
  <c r="I160" i="3" s="1"/>
  <c r="AH35" i="3"/>
  <c r="AG46" i="3"/>
  <c r="AG48" i="3"/>
  <c r="AG50" i="3"/>
  <c r="AG39" i="3"/>
  <c r="AG43" i="3"/>
  <c r="AG51" i="3"/>
  <c r="AG52" i="3"/>
  <c r="AG36" i="3"/>
  <c r="AG40" i="3"/>
  <c r="AG44" i="3"/>
  <c r="AG45" i="3"/>
  <c r="AG55" i="3"/>
  <c r="AG37" i="3"/>
  <c r="AG41" i="3"/>
  <c r="AG47" i="3"/>
  <c r="AG38" i="3"/>
  <c r="AG42" i="3"/>
  <c r="AG49" i="3"/>
  <c r="AG56" i="3"/>
  <c r="AG53" i="3"/>
  <c r="AG54" i="3"/>
  <c r="AA76" i="9"/>
  <c r="N32" i="9"/>
  <c r="N39" i="9" s="1"/>
  <c r="I81" i="9"/>
  <c r="I22" i="9"/>
  <c r="G22" i="9" s="1"/>
  <c r="H23" i="9"/>
  <c r="O17" i="9"/>
  <c r="N18" i="9"/>
  <c r="J21" i="3"/>
  <c r="J22" i="3"/>
  <c r="J23" i="3"/>
  <c r="J24" i="3"/>
  <c r="J25" i="3"/>
  <c r="J26" i="3"/>
  <c r="J27" i="3"/>
  <c r="J28" i="3"/>
  <c r="J19" i="3"/>
  <c r="H20" i="3"/>
  <c r="H21" i="3" s="1"/>
  <c r="K17" i="3"/>
  <c r="B19" i="3"/>
  <c r="B32" i="3" s="1"/>
  <c r="AA22" i="10" l="1"/>
  <c r="AA17" i="10"/>
  <c r="AA20" i="10"/>
  <c r="AA16" i="10"/>
  <c r="AA9" i="10"/>
  <c r="AA7" i="10"/>
  <c r="AA21" i="10"/>
  <c r="AA8" i="10"/>
  <c r="AA6" i="10"/>
  <c r="AA14" i="10"/>
  <c r="AA19" i="10"/>
  <c r="AA18" i="10"/>
  <c r="AA13" i="10"/>
  <c r="AA15" i="10"/>
  <c r="AA12" i="10"/>
  <c r="AA11" i="10"/>
  <c r="AA5" i="10"/>
  <c r="AA4" i="10"/>
  <c r="AA10" i="10"/>
  <c r="K32" i="3"/>
  <c r="K31" i="3"/>
  <c r="K33" i="3"/>
  <c r="I161" i="3"/>
  <c r="AI35" i="3"/>
  <c r="AH37" i="3"/>
  <c r="AH39" i="3"/>
  <c r="AH41" i="3"/>
  <c r="AH43" i="3"/>
  <c r="AH36" i="3"/>
  <c r="AH38" i="3"/>
  <c r="AH40" i="3"/>
  <c r="AH42" i="3"/>
  <c r="AH44" i="3"/>
  <c r="AH46" i="3"/>
  <c r="AH49" i="3"/>
  <c r="AH54" i="3"/>
  <c r="AH56" i="3"/>
  <c r="AH48" i="3"/>
  <c r="AH51" i="3"/>
  <c r="AH52" i="3"/>
  <c r="AH45" i="3"/>
  <c r="AH50" i="3"/>
  <c r="AH47" i="3"/>
  <c r="AH53" i="3"/>
  <c r="AH55" i="3"/>
  <c r="AH57" i="3"/>
  <c r="I59" i="3"/>
  <c r="AD58" i="3"/>
  <c r="L58" i="3"/>
  <c r="P58" i="3"/>
  <c r="T58" i="3"/>
  <c r="X58" i="3"/>
  <c r="AB58" i="3"/>
  <c r="M58" i="3"/>
  <c r="Q58" i="3"/>
  <c r="U58" i="3"/>
  <c r="Y58" i="3"/>
  <c r="AC58" i="3"/>
  <c r="K58" i="3"/>
  <c r="O58" i="3"/>
  <c r="S58" i="3"/>
  <c r="W58" i="3"/>
  <c r="AA58" i="3"/>
  <c r="J58" i="3"/>
  <c r="Z58" i="3"/>
  <c r="N58" i="3"/>
  <c r="R58" i="3"/>
  <c r="V58" i="3"/>
  <c r="AE58" i="3"/>
  <c r="L17" i="3"/>
  <c r="L32" i="3" s="1"/>
  <c r="K18" i="3"/>
  <c r="B31" i="3"/>
  <c r="N29" i="9"/>
  <c r="L80" i="9" s="1"/>
  <c r="H24" i="9"/>
  <c r="I23" i="9"/>
  <c r="G23" i="9" s="1"/>
  <c r="I82" i="9"/>
  <c r="P17" i="9"/>
  <c r="O18" i="9"/>
  <c r="O29" i="9" s="1"/>
  <c r="L81" i="9" s="1"/>
  <c r="O31" i="9"/>
  <c r="N40" i="9" s="1"/>
  <c r="O32" i="9"/>
  <c r="O40" i="9" s="1"/>
  <c r="O33" i="9"/>
  <c r="P40" i="9" s="1"/>
  <c r="Y76" i="9"/>
  <c r="J29" i="3"/>
  <c r="I19" i="3"/>
  <c r="G19" i="3" s="1"/>
  <c r="AE140" i="3" s="1"/>
  <c r="I20" i="3"/>
  <c r="G20" i="3" s="1"/>
  <c r="I21" i="3"/>
  <c r="G21" i="3" s="1"/>
  <c r="H22" i="3"/>
  <c r="H23" i="3" s="1"/>
  <c r="H24" i="3" s="1"/>
  <c r="AB22" i="10" l="1"/>
  <c r="AB8" i="10"/>
  <c r="AB6" i="10"/>
  <c r="AB16" i="10"/>
  <c r="AB20" i="10"/>
  <c r="AB21" i="10"/>
  <c r="AB19" i="10"/>
  <c r="AB15" i="10"/>
  <c r="AB7" i="10"/>
  <c r="AB14" i="10"/>
  <c r="AB13" i="10"/>
  <c r="AB12" i="10"/>
  <c r="AB17" i="10"/>
  <c r="AB11" i="10"/>
  <c r="AB18" i="10"/>
  <c r="AB10" i="10"/>
  <c r="AB9" i="10"/>
  <c r="AB4" i="10"/>
  <c r="AB5" i="10"/>
  <c r="L31" i="3"/>
  <c r="L33" i="3"/>
  <c r="K29" i="3"/>
  <c r="L141" i="3" s="1"/>
  <c r="AJ35" i="3"/>
  <c r="AI45" i="3"/>
  <c r="AI47" i="3"/>
  <c r="AI49" i="3"/>
  <c r="AI51" i="3"/>
  <c r="AI38" i="3"/>
  <c r="AI42" i="3"/>
  <c r="AI53" i="3"/>
  <c r="AI39" i="3"/>
  <c r="AI43" i="3"/>
  <c r="AI46" i="3"/>
  <c r="AI54" i="3"/>
  <c r="AI56" i="3"/>
  <c r="AI36" i="3"/>
  <c r="AI40" i="3"/>
  <c r="AI44" i="3"/>
  <c r="AI48" i="3"/>
  <c r="AI37" i="3"/>
  <c r="AI41" i="3"/>
  <c r="AI50" i="3"/>
  <c r="AI57" i="3"/>
  <c r="AI58" i="3"/>
  <c r="AI52" i="3"/>
  <c r="AI55" i="3"/>
  <c r="I162" i="3"/>
  <c r="I60" i="3"/>
  <c r="AD59" i="3"/>
  <c r="L59" i="3"/>
  <c r="P59" i="3"/>
  <c r="T59" i="3"/>
  <c r="X59" i="3"/>
  <c r="AB59" i="3"/>
  <c r="M59" i="3"/>
  <c r="Q59" i="3"/>
  <c r="U59" i="3"/>
  <c r="Y59" i="3"/>
  <c r="AC59" i="3"/>
  <c r="K59" i="3"/>
  <c r="O59" i="3"/>
  <c r="S59" i="3"/>
  <c r="W59" i="3"/>
  <c r="AA59" i="3"/>
  <c r="V59" i="3"/>
  <c r="J59" i="3"/>
  <c r="Z59" i="3"/>
  <c r="N59" i="3"/>
  <c r="R59" i="3"/>
  <c r="AE59" i="3"/>
  <c r="AF59" i="3"/>
  <c r="AC140" i="3"/>
  <c r="AA140" i="3"/>
  <c r="M17" i="3"/>
  <c r="L18" i="3"/>
  <c r="L29" i="3" s="1"/>
  <c r="L142" i="3" s="1"/>
  <c r="J36" i="3"/>
  <c r="W76" i="9"/>
  <c r="H25" i="9"/>
  <c r="I24" i="9"/>
  <c r="G24" i="9" s="1"/>
  <c r="Q17" i="9"/>
  <c r="P18" i="9"/>
  <c r="P29" i="9" s="1"/>
  <c r="P33" i="9"/>
  <c r="Q41" i="9" s="1"/>
  <c r="P31" i="9"/>
  <c r="O41" i="9" s="1"/>
  <c r="P32" i="9"/>
  <c r="P41" i="9" s="1"/>
  <c r="I83" i="9"/>
  <c r="L82" i="9"/>
  <c r="I22" i="3"/>
  <c r="G22" i="3" s="1"/>
  <c r="L36" i="3"/>
  <c r="I23" i="3"/>
  <c r="G23" i="3" s="1"/>
  <c r="K37" i="3"/>
  <c r="K36" i="3"/>
  <c r="L37" i="3"/>
  <c r="M37" i="3"/>
  <c r="H25" i="3"/>
  <c r="I24" i="3"/>
  <c r="G24" i="3" s="1"/>
  <c r="AC22" i="10" l="1"/>
  <c r="AC7" i="10"/>
  <c r="AC21" i="10"/>
  <c r="AC15" i="10"/>
  <c r="AC20" i="10"/>
  <c r="AC14" i="10"/>
  <c r="AC19" i="10"/>
  <c r="AC6" i="10"/>
  <c r="AC13" i="10"/>
  <c r="AC12" i="10"/>
  <c r="AC11" i="10"/>
  <c r="AC18" i="10"/>
  <c r="AC16" i="10"/>
  <c r="AC17" i="10"/>
  <c r="AC10" i="10"/>
  <c r="AC8" i="10"/>
  <c r="AC4" i="10"/>
  <c r="AC5" i="10"/>
  <c r="AC9" i="10"/>
  <c r="M32" i="3"/>
  <c r="M38" i="3" s="1"/>
  <c r="M33" i="3"/>
  <c r="N38" i="3" s="1"/>
  <c r="M31" i="3"/>
  <c r="L38" i="3" s="1"/>
  <c r="I163" i="3"/>
  <c r="I61" i="3"/>
  <c r="AD60" i="3"/>
  <c r="L60" i="3"/>
  <c r="P60" i="3"/>
  <c r="T60" i="3"/>
  <c r="X60" i="3"/>
  <c r="AB60" i="3"/>
  <c r="M60" i="3"/>
  <c r="Q60" i="3"/>
  <c r="U60" i="3"/>
  <c r="Y60" i="3"/>
  <c r="AC60" i="3"/>
  <c r="K60" i="3"/>
  <c r="O60" i="3"/>
  <c r="S60" i="3"/>
  <c r="W60" i="3"/>
  <c r="AA60" i="3"/>
  <c r="R60" i="3"/>
  <c r="V60" i="3"/>
  <c r="J60" i="3"/>
  <c r="Z60" i="3"/>
  <c r="N60" i="3"/>
  <c r="AE60" i="3"/>
  <c r="AF60" i="3"/>
  <c r="AG60" i="3"/>
  <c r="AK35" i="3"/>
  <c r="AJ36" i="3"/>
  <c r="AJ38" i="3"/>
  <c r="AJ40" i="3"/>
  <c r="AJ42" i="3"/>
  <c r="AJ44" i="3"/>
  <c r="AJ37" i="3"/>
  <c r="AJ39" i="3"/>
  <c r="AJ41" i="3"/>
  <c r="AJ43" i="3"/>
  <c r="AJ47" i="3"/>
  <c r="AJ50" i="3"/>
  <c r="AJ55" i="3"/>
  <c r="AJ57" i="3"/>
  <c r="AJ59" i="3"/>
  <c r="AJ49" i="3"/>
  <c r="AJ53" i="3"/>
  <c r="AJ46" i="3"/>
  <c r="AJ51" i="3"/>
  <c r="AJ45" i="3"/>
  <c r="AJ48" i="3"/>
  <c r="AJ52" i="3"/>
  <c r="AJ56" i="3"/>
  <c r="AJ58" i="3"/>
  <c r="AJ54" i="3"/>
  <c r="U140" i="3"/>
  <c r="Y140" i="3"/>
  <c r="W140" i="3"/>
  <c r="N17" i="3"/>
  <c r="M18" i="3"/>
  <c r="I84" i="9"/>
  <c r="U76" i="9"/>
  <c r="H26" i="9"/>
  <c r="I25" i="9"/>
  <c r="G25" i="9" s="1"/>
  <c r="R17" i="9"/>
  <c r="Q18" i="9"/>
  <c r="Q31" i="9"/>
  <c r="P42" i="9" s="1"/>
  <c r="Q32" i="9"/>
  <c r="Q42" i="9" s="1"/>
  <c r="Q33" i="9"/>
  <c r="R42" i="9" s="1"/>
  <c r="I25" i="3"/>
  <c r="G25" i="3" s="1"/>
  <c r="H26" i="3"/>
  <c r="AD22" i="10" l="1"/>
  <c r="AD21" i="10"/>
  <c r="AD19" i="10"/>
  <c r="AD20" i="10"/>
  <c r="AD6" i="10"/>
  <c r="AD14" i="10"/>
  <c r="AD13" i="10"/>
  <c r="AD11" i="10"/>
  <c r="AD12" i="10"/>
  <c r="AD17" i="10"/>
  <c r="AD18" i="10"/>
  <c r="AD10" i="10"/>
  <c r="AD16" i="10"/>
  <c r="AD15" i="10"/>
  <c r="AD9" i="10"/>
  <c r="AD8" i="10"/>
  <c r="AD7" i="10"/>
  <c r="AD4" i="10"/>
  <c r="AD5" i="10"/>
  <c r="N32" i="3"/>
  <c r="N33" i="3"/>
  <c r="O39" i="3" s="1"/>
  <c r="N31" i="3"/>
  <c r="M39" i="3" s="1"/>
  <c r="M29" i="3"/>
  <c r="L143" i="3" s="1"/>
  <c r="I62" i="3"/>
  <c r="AD61" i="3"/>
  <c r="L61" i="3"/>
  <c r="P61" i="3"/>
  <c r="T61" i="3"/>
  <c r="X61" i="3"/>
  <c r="AB61" i="3"/>
  <c r="M61" i="3"/>
  <c r="Q61" i="3"/>
  <c r="U61" i="3"/>
  <c r="Y61" i="3"/>
  <c r="AC61" i="3"/>
  <c r="K61" i="3"/>
  <c r="O61" i="3"/>
  <c r="S61" i="3"/>
  <c r="W61" i="3"/>
  <c r="AA61" i="3"/>
  <c r="N61" i="3"/>
  <c r="R61" i="3"/>
  <c r="V61" i="3"/>
  <c r="J61" i="3"/>
  <c r="Z61" i="3"/>
  <c r="AE61" i="3"/>
  <c r="AF61" i="3"/>
  <c r="AG61" i="3"/>
  <c r="AH61" i="3"/>
  <c r="AL35" i="3"/>
  <c r="AK36" i="3"/>
  <c r="AK37" i="3"/>
  <c r="AK38" i="3"/>
  <c r="AK39" i="3"/>
  <c r="AK40" i="3"/>
  <c r="AK41" i="3"/>
  <c r="AK42" i="3"/>
  <c r="AK43" i="3"/>
  <c r="AK46" i="3"/>
  <c r="AK48" i="3"/>
  <c r="AK50" i="3"/>
  <c r="AK45" i="3"/>
  <c r="AK52" i="3"/>
  <c r="AK47" i="3"/>
  <c r="AK55" i="3"/>
  <c r="AK57" i="3"/>
  <c r="AK49" i="3"/>
  <c r="AK44" i="3"/>
  <c r="AK51" i="3"/>
  <c r="AK54" i="3"/>
  <c r="AK60" i="3"/>
  <c r="AK59" i="3"/>
  <c r="AK56" i="3"/>
  <c r="AK53" i="3"/>
  <c r="AK58" i="3"/>
  <c r="I164" i="3"/>
  <c r="S140" i="3"/>
  <c r="O17" i="3"/>
  <c r="N18" i="3"/>
  <c r="N29" i="3" s="1"/>
  <c r="L144" i="3" s="1"/>
  <c r="N39" i="3"/>
  <c r="Q29" i="9"/>
  <c r="L83" i="9" s="1"/>
  <c r="S76" i="9"/>
  <c r="R18" i="9"/>
  <c r="R29" i="9" s="1"/>
  <c r="S17" i="9"/>
  <c r="R31" i="9"/>
  <c r="Q43" i="9" s="1"/>
  <c r="R32" i="9"/>
  <c r="R43" i="9" s="1"/>
  <c r="R33" i="9"/>
  <c r="S43" i="9" s="1"/>
  <c r="H27" i="9"/>
  <c r="I26" i="9"/>
  <c r="G26" i="9" s="1"/>
  <c r="I85" i="9"/>
  <c r="L84" i="9"/>
  <c r="H27" i="3"/>
  <c r="I26" i="3"/>
  <c r="G26" i="3" s="1"/>
  <c r="AE22" i="10" l="1"/>
  <c r="AG22" i="10" s="1"/>
  <c r="AE21" i="10"/>
  <c r="AG21" i="10" s="1"/>
  <c r="AE20" i="10"/>
  <c r="AG20" i="10" s="1"/>
  <c r="AE19" i="10"/>
  <c r="AG19" i="10" s="1"/>
  <c r="AE12" i="10"/>
  <c r="AG12" i="10" s="1"/>
  <c r="AE13" i="10"/>
  <c r="AG13" i="10" s="1"/>
  <c r="AE14" i="10"/>
  <c r="AG14" i="10" s="1"/>
  <c r="AE11" i="10"/>
  <c r="AG11" i="10" s="1"/>
  <c r="AE10" i="10"/>
  <c r="AG10" i="10" s="1"/>
  <c r="AE16" i="10"/>
  <c r="AG16" i="10" s="1"/>
  <c r="AE15" i="10"/>
  <c r="AG15" i="10" s="1"/>
  <c r="AE17" i="10"/>
  <c r="AG17" i="10" s="1"/>
  <c r="AE18" i="10"/>
  <c r="AG18" i="10" s="1"/>
  <c r="AE8" i="10"/>
  <c r="AG8" i="10" s="1"/>
  <c r="AE9" i="10"/>
  <c r="AG9" i="10" s="1"/>
  <c r="AE7" i="10"/>
  <c r="AG7" i="10" s="1"/>
  <c r="AE6" i="10"/>
  <c r="AG6" i="10" s="1"/>
  <c r="AE4" i="10"/>
  <c r="AG4" i="10" s="1"/>
  <c r="AE5" i="10"/>
  <c r="AG5" i="10" s="1"/>
  <c r="O32" i="3"/>
  <c r="O33" i="3"/>
  <c r="O31" i="3"/>
  <c r="I165" i="3"/>
  <c r="AM35" i="3"/>
  <c r="AL37" i="3"/>
  <c r="AL39" i="3"/>
  <c r="AL41" i="3"/>
  <c r="AL43" i="3"/>
  <c r="AL36" i="3"/>
  <c r="AL38" i="3"/>
  <c r="AL40" i="3"/>
  <c r="AL42" i="3"/>
  <c r="AL44" i="3"/>
  <c r="AL48" i="3"/>
  <c r="AL51" i="3"/>
  <c r="AL54" i="3"/>
  <c r="AL56" i="3"/>
  <c r="AL58" i="3"/>
  <c r="AL60" i="3"/>
  <c r="AL45" i="3"/>
  <c r="AL50" i="3"/>
  <c r="AL52" i="3"/>
  <c r="AL47" i="3"/>
  <c r="AL46" i="3"/>
  <c r="AL49" i="3"/>
  <c r="AL53" i="3"/>
  <c r="AL57" i="3"/>
  <c r="AL59" i="3"/>
  <c r="AL55" i="3"/>
  <c r="AL61" i="3"/>
  <c r="I63" i="3"/>
  <c r="AD62" i="3"/>
  <c r="L62" i="3"/>
  <c r="P62" i="3"/>
  <c r="T62" i="3"/>
  <c r="X62" i="3"/>
  <c r="AB62" i="3"/>
  <c r="M62" i="3"/>
  <c r="Q62" i="3"/>
  <c r="U62" i="3"/>
  <c r="Y62" i="3"/>
  <c r="AC62" i="3"/>
  <c r="K62" i="3"/>
  <c r="O62" i="3"/>
  <c r="S62" i="3"/>
  <c r="W62" i="3"/>
  <c r="AA62" i="3"/>
  <c r="J62" i="3"/>
  <c r="Z62" i="3"/>
  <c r="N62" i="3"/>
  <c r="R62" i="3"/>
  <c r="V62" i="3"/>
  <c r="AE62" i="3"/>
  <c r="AF62" i="3"/>
  <c r="AG62" i="3"/>
  <c r="AH62" i="3"/>
  <c r="AI62" i="3"/>
  <c r="Q140" i="3"/>
  <c r="P17" i="3"/>
  <c r="O18" i="3"/>
  <c r="O29" i="3" s="1"/>
  <c r="L145" i="3" s="1"/>
  <c r="P40" i="3"/>
  <c r="N40" i="3"/>
  <c r="O40" i="3"/>
  <c r="I86" i="9"/>
  <c r="T17" i="9"/>
  <c r="S18" i="9"/>
  <c r="S29" i="9" s="1"/>
  <c r="L85" i="9" s="1"/>
  <c r="S31" i="9"/>
  <c r="R44" i="9" s="1"/>
  <c r="S33" i="9"/>
  <c r="T44" i="9" s="1"/>
  <c r="S32" i="9"/>
  <c r="S44" i="9" s="1"/>
  <c r="Q76" i="9"/>
  <c r="H28" i="9"/>
  <c r="I27" i="9"/>
  <c r="G27" i="9" s="1"/>
  <c r="H28" i="3"/>
  <c r="I27" i="3"/>
  <c r="G27" i="3" s="1"/>
  <c r="P31" i="3" l="1"/>
  <c r="P32" i="3"/>
  <c r="P33" i="3"/>
  <c r="Q41" i="3" s="1"/>
  <c r="AN35" i="3"/>
  <c r="AM44" i="3"/>
  <c r="AM45" i="3"/>
  <c r="AM47" i="3"/>
  <c r="AM49" i="3"/>
  <c r="AM51" i="3"/>
  <c r="AM37" i="3"/>
  <c r="AM41" i="3"/>
  <c r="AM46" i="3"/>
  <c r="AM53" i="3"/>
  <c r="AM38" i="3"/>
  <c r="AM42" i="3"/>
  <c r="AM48" i="3"/>
  <c r="AM54" i="3"/>
  <c r="AM56" i="3"/>
  <c r="AM39" i="3"/>
  <c r="AM43" i="3"/>
  <c r="AM50" i="3"/>
  <c r="AM36" i="3"/>
  <c r="AM40" i="3"/>
  <c r="AM55" i="3"/>
  <c r="AM58" i="3"/>
  <c r="AM61" i="3"/>
  <c r="AM60" i="3"/>
  <c r="AM57" i="3"/>
  <c r="AM62" i="3"/>
  <c r="AM52" i="3"/>
  <c r="AM59" i="3"/>
  <c r="I64" i="3"/>
  <c r="AD63" i="3"/>
  <c r="L63" i="3"/>
  <c r="P63" i="3"/>
  <c r="T63" i="3"/>
  <c r="X63" i="3"/>
  <c r="AB63" i="3"/>
  <c r="M63" i="3"/>
  <c r="Q63" i="3"/>
  <c r="U63" i="3"/>
  <c r="Y63" i="3"/>
  <c r="AC63" i="3"/>
  <c r="K63" i="3"/>
  <c r="O63" i="3"/>
  <c r="S63" i="3"/>
  <c r="W63" i="3"/>
  <c r="AA63" i="3"/>
  <c r="V63" i="3"/>
  <c r="J63" i="3"/>
  <c r="Z63" i="3"/>
  <c r="N63" i="3"/>
  <c r="R63" i="3"/>
  <c r="AE63" i="3"/>
  <c r="AF63" i="3"/>
  <c r="AG63" i="3"/>
  <c r="AH63" i="3"/>
  <c r="AI63" i="3"/>
  <c r="AJ63" i="3"/>
  <c r="I166" i="3"/>
  <c r="O140" i="3"/>
  <c r="Q17" i="3"/>
  <c r="P18" i="3"/>
  <c r="P29" i="3" s="1"/>
  <c r="L146" i="3" s="1"/>
  <c r="O41" i="3"/>
  <c r="P41" i="3"/>
  <c r="O76" i="9"/>
  <c r="I28" i="9"/>
  <c r="G28" i="9" s="1"/>
  <c r="H29" i="9"/>
  <c r="I29" i="9" s="1"/>
  <c r="G29" i="9" s="1"/>
  <c r="L76" i="9" s="1"/>
  <c r="U17" i="9"/>
  <c r="T18" i="9"/>
  <c r="T29" i="9" s="1"/>
  <c r="T33" i="9"/>
  <c r="U45" i="9" s="1"/>
  <c r="T32" i="9"/>
  <c r="T45" i="9" s="1"/>
  <c r="T31" i="9"/>
  <c r="S45" i="9" s="1"/>
  <c r="I87" i="9"/>
  <c r="L86" i="9"/>
  <c r="H29" i="3"/>
  <c r="I29" i="3" s="1"/>
  <c r="G29" i="3" s="1"/>
  <c r="L140" i="3" s="1"/>
  <c r="I28" i="3"/>
  <c r="G28" i="3" s="1"/>
  <c r="Q31" i="3" l="1"/>
  <c r="Q32" i="3"/>
  <c r="Q33" i="3"/>
  <c r="I65" i="3"/>
  <c r="AD64" i="3"/>
  <c r="L64" i="3"/>
  <c r="P64" i="3"/>
  <c r="T64" i="3"/>
  <c r="X64" i="3"/>
  <c r="AB64" i="3"/>
  <c r="M64" i="3"/>
  <c r="Q64" i="3"/>
  <c r="U64" i="3"/>
  <c r="Y64" i="3"/>
  <c r="AC64" i="3"/>
  <c r="K64" i="3"/>
  <c r="O64" i="3"/>
  <c r="S64" i="3"/>
  <c r="W64" i="3"/>
  <c r="AA64" i="3"/>
  <c r="R64" i="3"/>
  <c r="V64" i="3"/>
  <c r="J64" i="3"/>
  <c r="Z64" i="3"/>
  <c r="N64" i="3"/>
  <c r="AE64" i="3"/>
  <c r="AF64" i="3"/>
  <c r="AG64" i="3"/>
  <c r="AH64" i="3"/>
  <c r="AI64" i="3"/>
  <c r="AJ64" i="3"/>
  <c r="AK64" i="3"/>
  <c r="I167" i="3"/>
  <c r="AO35" i="3"/>
  <c r="AN36" i="3"/>
  <c r="AN38" i="3"/>
  <c r="AN40" i="3"/>
  <c r="AN42" i="3"/>
  <c r="AN44" i="3"/>
  <c r="AN37" i="3"/>
  <c r="AN39" i="3"/>
  <c r="AN41" i="3"/>
  <c r="AN43" i="3"/>
  <c r="AN49" i="3"/>
  <c r="AN55" i="3"/>
  <c r="AN57" i="3"/>
  <c r="AN59" i="3"/>
  <c r="AN61" i="3"/>
  <c r="AN63" i="3"/>
  <c r="AN46" i="3"/>
  <c r="AN51" i="3"/>
  <c r="AN53" i="3"/>
  <c r="AN45" i="3"/>
  <c r="AN48" i="3"/>
  <c r="AN47" i="3"/>
  <c r="AN50" i="3"/>
  <c r="AN52" i="3"/>
  <c r="AN54" i="3"/>
  <c r="AN58" i="3"/>
  <c r="AN60" i="3"/>
  <c r="AN56" i="3"/>
  <c r="AN62" i="3"/>
  <c r="M140" i="3"/>
  <c r="R17" i="3"/>
  <c r="Q18" i="3"/>
  <c r="Q29" i="3" s="1"/>
  <c r="L147" i="3" s="1"/>
  <c r="R42" i="3"/>
  <c r="P42" i="3"/>
  <c r="Q42" i="3"/>
  <c r="I88" i="9"/>
  <c r="V17" i="9"/>
  <c r="U18" i="9"/>
  <c r="U29" i="9" s="1"/>
  <c r="L87" i="9" s="1"/>
  <c r="U33" i="9"/>
  <c r="V46" i="9" s="1"/>
  <c r="U31" i="9"/>
  <c r="T46" i="9" s="1"/>
  <c r="U32" i="9"/>
  <c r="U46" i="9" s="1"/>
  <c r="M76" i="9"/>
  <c r="R31" i="3" l="1"/>
  <c r="R32" i="3"/>
  <c r="R33" i="3"/>
  <c r="AP35" i="3"/>
  <c r="AO46" i="3"/>
  <c r="AO48" i="3"/>
  <c r="AO50" i="3"/>
  <c r="AO36" i="3"/>
  <c r="AO40" i="3"/>
  <c r="AO47" i="3"/>
  <c r="AO52" i="3"/>
  <c r="AO37" i="3"/>
  <c r="AO41" i="3"/>
  <c r="AO44" i="3"/>
  <c r="AO49" i="3"/>
  <c r="AO55" i="3"/>
  <c r="AO57" i="3"/>
  <c r="AO38" i="3"/>
  <c r="AO42" i="3"/>
  <c r="AO51" i="3"/>
  <c r="AO39" i="3"/>
  <c r="AO43" i="3"/>
  <c r="AO45" i="3"/>
  <c r="AO53" i="3"/>
  <c r="AO56" i="3"/>
  <c r="AO59" i="3"/>
  <c r="AO62" i="3"/>
  <c r="AO61" i="3"/>
  <c r="AO54" i="3"/>
  <c r="AO58" i="3"/>
  <c r="AO63" i="3"/>
  <c r="AO60" i="3"/>
  <c r="AO64" i="3"/>
  <c r="I66" i="3"/>
  <c r="AD65" i="3"/>
  <c r="L65" i="3"/>
  <c r="P65" i="3"/>
  <c r="T65" i="3"/>
  <c r="X65" i="3"/>
  <c r="AB65" i="3"/>
  <c r="M65" i="3"/>
  <c r="Q65" i="3"/>
  <c r="U65" i="3"/>
  <c r="Y65" i="3"/>
  <c r="AC65" i="3"/>
  <c r="K65" i="3"/>
  <c r="O65" i="3"/>
  <c r="S65" i="3"/>
  <c r="W65" i="3"/>
  <c r="AA65" i="3"/>
  <c r="N65" i="3"/>
  <c r="R65" i="3"/>
  <c r="V65" i="3"/>
  <c r="J65" i="3"/>
  <c r="Z65" i="3"/>
  <c r="AE65" i="3"/>
  <c r="AF65" i="3"/>
  <c r="AG65" i="3"/>
  <c r="AH65" i="3"/>
  <c r="AI65" i="3"/>
  <c r="AJ65" i="3"/>
  <c r="AK65" i="3"/>
  <c r="AL65" i="3"/>
  <c r="I168" i="3"/>
  <c r="S17" i="3"/>
  <c r="R18" i="3"/>
  <c r="R29" i="3" s="1"/>
  <c r="L148" i="3" s="1"/>
  <c r="Q43" i="3"/>
  <c r="R43" i="3"/>
  <c r="S43" i="3"/>
  <c r="W17" i="9"/>
  <c r="V18" i="9"/>
  <c r="V29" i="9" s="1"/>
  <c r="L88" i="9" s="1"/>
  <c r="V33" i="9"/>
  <c r="W47" i="9" s="1"/>
  <c r="V31" i="9"/>
  <c r="U47" i="9" s="1"/>
  <c r="V32" i="9"/>
  <c r="V47" i="9" s="1"/>
  <c r="I89" i="9"/>
  <c r="S32" i="3" l="1"/>
  <c r="S33" i="3"/>
  <c r="S31" i="3"/>
  <c r="I169" i="3"/>
  <c r="I67" i="3"/>
  <c r="AD66" i="3"/>
  <c r="L66" i="3"/>
  <c r="P66" i="3"/>
  <c r="T66" i="3"/>
  <c r="X66" i="3"/>
  <c r="AB66" i="3"/>
  <c r="M66" i="3"/>
  <c r="Q66" i="3"/>
  <c r="U66" i="3"/>
  <c r="Y66" i="3"/>
  <c r="AC66" i="3"/>
  <c r="K66" i="3"/>
  <c r="O66" i="3"/>
  <c r="S66" i="3"/>
  <c r="W66" i="3"/>
  <c r="AA66" i="3"/>
  <c r="J66" i="3"/>
  <c r="Z66" i="3"/>
  <c r="N66" i="3"/>
  <c r="R66" i="3"/>
  <c r="V66" i="3"/>
  <c r="AE66" i="3"/>
  <c r="AF66" i="3"/>
  <c r="AG66" i="3"/>
  <c r="AH66" i="3"/>
  <c r="AI66" i="3"/>
  <c r="AJ66" i="3"/>
  <c r="AK66" i="3"/>
  <c r="AL66" i="3"/>
  <c r="AM66" i="3"/>
  <c r="AQ35" i="3"/>
  <c r="AP37" i="3"/>
  <c r="AP39" i="3"/>
  <c r="AP41" i="3"/>
  <c r="AP43" i="3"/>
  <c r="AP36" i="3"/>
  <c r="AP38" i="3"/>
  <c r="AP40" i="3"/>
  <c r="AP42" i="3"/>
  <c r="AP45" i="3"/>
  <c r="AP50" i="3"/>
  <c r="AP54" i="3"/>
  <c r="AP56" i="3"/>
  <c r="AP58" i="3"/>
  <c r="AP60" i="3"/>
  <c r="AP62" i="3"/>
  <c r="AP47" i="3"/>
  <c r="AP52" i="3"/>
  <c r="AP44" i="3"/>
  <c r="AP46" i="3"/>
  <c r="AP49" i="3"/>
  <c r="AP48" i="3"/>
  <c r="AP51" i="3"/>
  <c r="AP53" i="3"/>
  <c r="AP64" i="3"/>
  <c r="AP55" i="3"/>
  <c r="AP59" i="3"/>
  <c r="AP61" i="3"/>
  <c r="AP65" i="3"/>
  <c r="AP57" i="3"/>
  <c r="AP63" i="3"/>
  <c r="T17" i="3"/>
  <c r="S18" i="3"/>
  <c r="S29" i="3" s="1"/>
  <c r="L149" i="3" s="1"/>
  <c r="R44" i="3"/>
  <c r="T44" i="3"/>
  <c r="S44" i="3"/>
  <c r="I90" i="9"/>
  <c r="X17" i="9"/>
  <c r="W18" i="9"/>
  <c r="W29" i="9" s="1"/>
  <c r="L89" i="9" s="1"/>
  <c r="W33" i="9"/>
  <c r="X48" i="9" s="1"/>
  <c r="W32" i="9"/>
  <c r="W48" i="9" s="1"/>
  <c r="W31" i="9"/>
  <c r="V48" i="9" s="1"/>
  <c r="T32" i="3" l="1"/>
  <c r="T33" i="3"/>
  <c r="T31" i="3"/>
  <c r="I68" i="3"/>
  <c r="AD67" i="3"/>
  <c r="L67" i="3"/>
  <c r="P67" i="3"/>
  <c r="T67" i="3"/>
  <c r="X67" i="3"/>
  <c r="M67" i="3"/>
  <c r="Q67" i="3"/>
  <c r="U67" i="3"/>
  <c r="Y67" i="3"/>
  <c r="AC67" i="3"/>
  <c r="K67" i="3"/>
  <c r="O67" i="3"/>
  <c r="S67" i="3"/>
  <c r="W67" i="3"/>
  <c r="V67" i="3"/>
  <c r="J67" i="3"/>
  <c r="Z67" i="3"/>
  <c r="N67" i="3"/>
  <c r="AA67" i="3"/>
  <c r="R67" i="3"/>
  <c r="AB67" i="3"/>
  <c r="AE67" i="3"/>
  <c r="AF67" i="3"/>
  <c r="AG67" i="3"/>
  <c r="AH67" i="3"/>
  <c r="AI67" i="3"/>
  <c r="AJ67" i="3"/>
  <c r="AK67" i="3"/>
  <c r="AL67" i="3"/>
  <c r="AM67" i="3"/>
  <c r="AN67" i="3"/>
  <c r="I170" i="3"/>
  <c r="AR35" i="3"/>
  <c r="AQ45" i="3"/>
  <c r="AQ47" i="3"/>
  <c r="AQ49" i="3"/>
  <c r="AQ39" i="3"/>
  <c r="AQ43" i="3"/>
  <c r="AQ48" i="3"/>
  <c r="AQ51" i="3"/>
  <c r="AQ53" i="3"/>
  <c r="AQ36" i="3"/>
  <c r="AQ40" i="3"/>
  <c r="AQ50" i="3"/>
  <c r="AQ54" i="3"/>
  <c r="AQ56" i="3"/>
  <c r="AQ37" i="3"/>
  <c r="AQ41" i="3"/>
  <c r="AQ38" i="3"/>
  <c r="AQ42" i="3"/>
  <c r="AQ44" i="3"/>
  <c r="AQ46" i="3"/>
  <c r="AQ52" i="3"/>
  <c r="AQ57" i="3"/>
  <c r="AQ60" i="3"/>
  <c r="AQ63" i="3"/>
  <c r="AQ62" i="3"/>
  <c r="AQ64" i="3"/>
  <c r="AQ66" i="3"/>
  <c r="AQ55" i="3"/>
  <c r="AQ59" i="3"/>
  <c r="AQ58" i="3"/>
  <c r="AQ61" i="3"/>
  <c r="AQ65" i="3"/>
  <c r="U17" i="3"/>
  <c r="T18" i="3"/>
  <c r="T29" i="3" s="1"/>
  <c r="L150" i="3" s="1"/>
  <c r="U45" i="3"/>
  <c r="S45" i="3"/>
  <c r="T45" i="3"/>
  <c r="Y17" i="9"/>
  <c r="X18" i="9"/>
  <c r="X29" i="9" s="1"/>
  <c r="L90" i="9" s="1"/>
  <c r="X32" i="9"/>
  <c r="X49" i="9" s="1"/>
  <c r="X31" i="9"/>
  <c r="W49" i="9" s="1"/>
  <c r="X33" i="9"/>
  <c r="Y49" i="9" s="1"/>
  <c r="I91" i="9"/>
  <c r="U31" i="3" l="1"/>
  <c r="U32" i="3"/>
  <c r="U33" i="3"/>
  <c r="I171" i="3"/>
  <c r="AS35" i="3"/>
  <c r="AR36" i="3"/>
  <c r="AR38" i="3"/>
  <c r="AR40" i="3"/>
  <c r="AR42" i="3"/>
  <c r="AR44" i="3"/>
  <c r="AR37" i="3"/>
  <c r="AR39" i="3"/>
  <c r="AR41" i="3"/>
  <c r="AR43" i="3"/>
  <c r="AR46" i="3"/>
  <c r="AR55" i="3"/>
  <c r="AR57" i="3"/>
  <c r="AR59" i="3"/>
  <c r="AR61" i="3"/>
  <c r="AR63" i="3"/>
  <c r="AR45" i="3"/>
  <c r="AR48" i="3"/>
  <c r="AR51" i="3"/>
  <c r="AR53" i="3"/>
  <c r="AR47" i="3"/>
  <c r="AR50" i="3"/>
  <c r="AR49" i="3"/>
  <c r="AR52" i="3"/>
  <c r="AR58" i="3"/>
  <c r="AR65" i="3"/>
  <c r="AR67" i="3"/>
  <c r="AR56" i="3"/>
  <c r="AR60" i="3"/>
  <c r="AR62" i="3"/>
  <c r="AR64" i="3"/>
  <c r="AR66" i="3"/>
  <c r="AR54" i="3"/>
  <c r="I69" i="3"/>
  <c r="AD68" i="3"/>
  <c r="J68" i="3"/>
  <c r="N68" i="3"/>
  <c r="R68" i="3"/>
  <c r="V68" i="3"/>
  <c r="Z68" i="3"/>
  <c r="K68" i="3"/>
  <c r="O68" i="3"/>
  <c r="S68" i="3"/>
  <c r="W68" i="3"/>
  <c r="AA68" i="3"/>
  <c r="L68" i="3"/>
  <c r="P68" i="3"/>
  <c r="T68" i="3"/>
  <c r="X68" i="3"/>
  <c r="AB68" i="3"/>
  <c r="U68" i="3"/>
  <c r="Y68" i="3"/>
  <c r="Q68" i="3"/>
  <c r="M68" i="3"/>
  <c r="AC68" i="3"/>
  <c r="AE68" i="3"/>
  <c r="AF68" i="3"/>
  <c r="AG68" i="3"/>
  <c r="AH68" i="3"/>
  <c r="AI68" i="3"/>
  <c r="AJ68" i="3"/>
  <c r="AK68" i="3"/>
  <c r="AL68" i="3"/>
  <c r="AM68" i="3"/>
  <c r="AN68" i="3"/>
  <c r="AO68" i="3"/>
  <c r="V17" i="3"/>
  <c r="U18" i="3"/>
  <c r="U29" i="3" s="1"/>
  <c r="L151" i="3" s="1"/>
  <c r="T46" i="3"/>
  <c r="U46" i="3"/>
  <c r="V46" i="3"/>
  <c r="I92" i="9"/>
  <c r="Z17" i="9"/>
  <c r="Y18" i="9"/>
  <c r="Y29" i="9" s="1"/>
  <c r="L91" i="9" s="1"/>
  <c r="Y33" i="9"/>
  <c r="Z50" i="9" s="1"/>
  <c r="Y31" i="9"/>
  <c r="X50" i="9" s="1"/>
  <c r="Y32" i="9"/>
  <c r="Y50" i="9" s="1"/>
  <c r="V33" i="3" l="1"/>
  <c r="V31" i="3"/>
  <c r="V32" i="3"/>
  <c r="AT35" i="3"/>
  <c r="AS36" i="3"/>
  <c r="AS37" i="3"/>
  <c r="AS38" i="3"/>
  <c r="AS39" i="3"/>
  <c r="AS40" i="3"/>
  <c r="AS41" i="3"/>
  <c r="AS42" i="3"/>
  <c r="AS43" i="3"/>
  <c r="AS44" i="3"/>
  <c r="AS46" i="3"/>
  <c r="AS48" i="3"/>
  <c r="AS50" i="3"/>
  <c r="AS49" i="3"/>
  <c r="AS52" i="3"/>
  <c r="AS55" i="3"/>
  <c r="AS57" i="3"/>
  <c r="AS45" i="3"/>
  <c r="AS51" i="3"/>
  <c r="AS47" i="3"/>
  <c r="AS54" i="3"/>
  <c r="AS61" i="3"/>
  <c r="AS53" i="3"/>
  <c r="AS58" i="3"/>
  <c r="AS63" i="3"/>
  <c r="AS65" i="3"/>
  <c r="AS67" i="3"/>
  <c r="AS56" i="3"/>
  <c r="AS60" i="3"/>
  <c r="AS59" i="3"/>
  <c r="AS62" i="3"/>
  <c r="AS64" i="3"/>
  <c r="AS66" i="3"/>
  <c r="AS68" i="3"/>
  <c r="I70" i="3"/>
  <c r="AD69" i="3"/>
  <c r="J69" i="3"/>
  <c r="N69" i="3"/>
  <c r="R69" i="3"/>
  <c r="V69" i="3"/>
  <c r="Z69" i="3"/>
  <c r="K69" i="3"/>
  <c r="O69" i="3"/>
  <c r="S69" i="3"/>
  <c r="W69" i="3"/>
  <c r="AA69" i="3"/>
  <c r="L69" i="3"/>
  <c r="P69" i="3"/>
  <c r="T69" i="3"/>
  <c r="X69" i="3"/>
  <c r="AB69" i="3"/>
  <c r="Q69" i="3"/>
  <c r="U69" i="3"/>
  <c r="AC69" i="3"/>
  <c r="Y69" i="3"/>
  <c r="M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I172" i="3"/>
  <c r="W17" i="3"/>
  <c r="V18" i="3"/>
  <c r="V29" i="3" s="1"/>
  <c r="L152" i="3" s="1"/>
  <c r="W47" i="3"/>
  <c r="V47" i="3"/>
  <c r="U47" i="3"/>
  <c r="AA17" i="9"/>
  <c r="Z18" i="9"/>
  <c r="Z29" i="9" s="1"/>
  <c r="Z31" i="9"/>
  <c r="Y51" i="9" s="1"/>
  <c r="Z32" i="9"/>
  <c r="Z51" i="9" s="1"/>
  <c r="Z33" i="9"/>
  <c r="AA51" i="9" s="1"/>
  <c r="I93" i="9"/>
  <c r="L92" i="9"/>
  <c r="W31" i="3" l="1"/>
  <c r="W32" i="3"/>
  <c r="W33" i="3"/>
  <c r="I173" i="3"/>
  <c r="I71" i="3"/>
  <c r="AD70" i="3"/>
  <c r="J70" i="3"/>
  <c r="N70" i="3"/>
  <c r="R70" i="3"/>
  <c r="V70" i="3"/>
  <c r="Z70" i="3"/>
  <c r="K70" i="3"/>
  <c r="O70" i="3"/>
  <c r="S70" i="3"/>
  <c r="W70" i="3"/>
  <c r="AA70" i="3"/>
  <c r="L70" i="3"/>
  <c r="P70" i="3"/>
  <c r="T70" i="3"/>
  <c r="X70" i="3"/>
  <c r="AB70" i="3"/>
  <c r="M70" i="3"/>
  <c r="AC70" i="3"/>
  <c r="Q70" i="3"/>
  <c r="Y70" i="3"/>
  <c r="U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U35" i="3"/>
  <c r="AT37" i="3"/>
  <c r="AT39" i="3"/>
  <c r="AT41" i="3"/>
  <c r="AT43" i="3"/>
  <c r="AT36" i="3"/>
  <c r="AT38" i="3"/>
  <c r="AT40" i="3"/>
  <c r="AT42" i="3"/>
  <c r="AT44" i="3"/>
  <c r="AT47" i="3"/>
  <c r="AT54" i="3"/>
  <c r="AT56" i="3"/>
  <c r="AT58" i="3"/>
  <c r="AT60" i="3"/>
  <c r="AT62" i="3"/>
  <c r="AT46" i="3"/>
  <c r="AT49" i="3"/>
  <c r="AT52" i="3"/>
  <c r="AT48" i="3"/>
  <c r="AT45" i="3"/>
  <c r="AT50" i="3"/>
  <c r="AT51" i="3"/>
  <c r="AT53" i="3"/>
  <c r="AT59" i="3"/>
  <c r="AT64" i="3"/>
  <c r="AT66" i="3"/>
  <c r="AT68" i="3"/>
  <c r="AT57" i="3"/>
  <c r="AT61" i="3"/>
  <c r="AT63" i="3"/>
  <c r="AT65" i="3"/>
  <c r="AT67" i="3"/>
  <c r="AT55" i="3"/>
  <c r="AT69" i="3"/>
  <c r="X17" i="3"/>
  <c r="W18" i="3"/>
  <c r="W29" i="3" s="1"/>
  <c r="L153" i="3" s="1"/>
  <c r="X48" i="3"/>
  <c r="W48" i="3"/>
  <c r="V48" i="3"/>
  <c r="AB17" i="9"/>
  <c r="AA18" i="9"/>
  <c r="AA29" i="9" s="1"/>
  <c r="L93" i="9" s="1"/>
  <c r="AA32" i="9"/>
  <c r="AA52" i="9" s="1"/>
  <c r="AA33" i="9"/>
  <c r="AB52" i="9" s="1"/>
  <c r="AA31" i="9"/>
  <c r="Z52" i="9" s="1"/>
  <c r="I94" i="9"/>
  <c r="X33" i="3" l="1"/>
  <c r="X31" i="3"/>
  <c r="X32" i="3"/>
  <c r="AV35" i="3"/>
  <c r="AU45" i="3"/>
  <c r="AU47" i="3"/>
  <c r="AU49" i="3"/>
  <c r="AU38" i="3"/>
  <c r="AU42" i="3"/>
  <c r="AU50" i="3"/>
  <c r="AU51" i="3"/>
  <c r="AU53" i="3"/>
  <c r="AU39" i="3"/>
  <c r="AU43" i="3"/>
  <c r="AU44" i="3"/>
  <c r="AU54" i="3"/>
  <c r="AU56" i="3"/>
  <c r="AU36" i="3"/>
  <c r="AU40" i="3"/>
  <c r="AU46" i="3"/>
  <c r="AU37" i="3"/>
  <c r="AU41" i="3"/>
  <c r="AU48" i="3"/>
  <c r="AU55" i="3"/>
  <c r="AU62" i="3"/>
  <c r="AU52" i="3"/>
  <c r="AU59" i="3"/>
  <c r="AU64" i="3"/>
  <c r="AU66" i="3"/>
  <c r="AU68" i="3"/>
  <c r="AU70" i="3"/>
  <c r="AU57" i="3"/>
  <c r="AU58" i="3"/>
  <c r="AU61" i="3"/>
  <c r="AU60" i="3"/>
  <c r="AU63" i="3"/>
  <c r="AU65" i="3"/>
  <c r="AU67" i="3"/>
  <c r="AU69" i="3"/>
  <c r="I72" i="3"/>
  <c r="AD71" i="3"/>
  <c r="J71" i="3"/>
  <c r="N71" i="3"/>
  <c r="R71" i="3"/>
  <c r="V71" i="3"/>
  <c r="Z71" i="3"/>
  <c r="K71" i="3"/>
  <c r="O71" i="3"/>
  <c r="S71" i="3"/>
  <c r="W71" i="3"/>
  <c r="AA71" i="3"/>
  <c r="L71" i="3"/>
  <c r="P71" i="3"/>
  <c r="T71" i="3"/>
  <c r="X71" i="3"/>
  <c r="AB71" i="3"/>
  <c r="Y71" i="3"/>
  <c r="M71" i="3"/>
  <c r="AC71" i="3"/>
  <c r="Q71" i="3"/>
  <c r="U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I174" i="3"/>
  <c r="Y17" i="3"/>
  <c r="X18" i="3"/>
  <c r="X29" i="3" s="1"/>
  <c r="L154" i="3" s="1"/>
  <c r="Y49" i="3"/>
  <c r="X49" i="3"/>
  <c r="W49" i="3"/>
  <c r="AB18" i="9"/>
  <c r="AB29" i="9" s="1"/>
  <c r="L94" i="9" s="1"/>
  <c r="AC17" i="9"/>
  <c r="AB31" i="9"/>
  <c r="AA53" i="9" s="1"/>
  <c r="AB33" i="9"/>
  <c r="AC53" i="9" s="1"/>
  <c r="AB32" i="9"/>
  <c r="AB53" i="9" s="1"/>
  <c r="I95" i="9"/>
  <c r="I96" i="9" s="1"/>
  <c r="Y31" i="3" l="1"/>
  <c r="Y32" i="3"/>
  <c r="Y33" i="3"/>
  <c r="I73" i="3"/>
  <c r="AD72" i="3"/>
  <c r="J72" i="3"/>
  <c r="N72" i="3"/>
  <c r="R72" i="3"/>
  <c r="V72" i="3"/>
  <c r="Z72" i="3"/>
  <c r="K72" i="3"/>
  <c r="O72" i="3"/>
  <c r="S72" i="3"/>
  <c r="W72" i="3"/>
  <c r="AA72" i="3"/>
  <c r="L72" i="3"/>
  <c r="P72" i="3"/>
  <c r="T72" i="3"/>
  <c r="X72" i="3"/>
  <c r="AB72" i="3"/>
  <c r="U72" i="3"/>
  <c r="Y72" i="3"/>
  <c r="Q72" i="3"/>
  <c r="M72" i="3"/>
  <c r="AC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I175" i="3"/>
  <c r="AW35" i="3"/>
  <c r="AV36" i="3"/>
  <c r="AV38" i="3"/>
  <c r="AV40" i="3"/>
  <c r="AV42" i="3"/>
  <c r="AV37" i="3"/>
  <c r="AV39" i="3"/>
  <c r="AV41" i="3"/>
  <c r="AV43" i="3"/>
  <c r="AV45" i="3"/>
  <c r="AV48" i="3"/>
  <c r="AV55" i="3"/>
  <c r="AV57" i="3"/>
  <c r="AV59" i="3"/>
  <c r="AV61" i="3"/>
  <c r="AV47" i="3"/>
  <c r="AV50" i="3"/>
  <c r="AV51" i="3"/>
  <c r="AV53" i="3"/>
  <c r="AV44" i="3"/>
  <c r="AV49" i="3"/>
  <c r="AV46" i="3"/>
  <c r="AV52" i="3"/>
  <c r="AV60" i="3"/>
  <c r="AV63" i="3"/>
  <c r="AV65" i="3"/>
  <c r="AV67" i="3"/>
  <c r="AV69" i="3"/>
  <c r="AV71" i="3"/>
  <c r="AV54" i="3"/>
  <c r="AV62" i="3"/>
  <c r="AV64" i="3"/>
  <c r="AV66" i="3"/>
  <c r="AV56" i="3"/>
  <c r="AV58" i="3"/>
  <c r="AV70" i="3"/>
  <c r="AV68" i="3"/>
  <c r="Z17" i="3"/>
  <c r="Y18" i="3"/>
  <c r="Y29" i="3" s="1"/>
  <c r="L155" i="3" s="1"/>
  <c r="Y50" i="3"/>
  <c r="Z50" i="3"/>
  <c r="X50" i="3"/>
  <c r="AD17" i="9"/>
  <c r="AD18" i="9" s="1"/>
  <c r="AC18" i="9"/>
  <c r="AC29" i="9" s="1"/>
  <c r="L95" i="9" s="1"/>
  <c r="AC31" i="9"/>
  <c r="AB54" i="9" s="1"/>
  <c r="AC32" i="9"/>
  <c r="AC54" i="9" s="1"/>
  <c r="AC33" i="9"/>
  <c r="AD54" i="9" s="1"/>
  <c r="Z31" i="3" l="1"/>
  <c r="Z32" i="3"/>
  <c r="Z33" i="3"/>
  <c r="AX35" i="3"/>
  <c r="AW44" i="3"/>
  <c r="AW46" i="3"/>
  <c r="AW48" i="3"/>
  <c r="AW50" i="3"/>
  <c r="AW37" i="3"/>
  <c r="AW41" i="3"/>
  <c r="AW52" i="3"/>
  <c r="AW38" i="3"/>
  <c r="AW42" i="3"/>
  <c r="AW45" i="3"/>
  <c r="AW55" i="3"/>
  <c r="AW57" i="3"/>
  <c r="AW39" i="3"/>
  <c r="AW43" i="3"/>
  <c r="AW47" i="3"/>
  <c r="AW51" i="3"/>
  <c r="AW36" i="3"/>
  <c r="AW40" i="3"/>
  <c r="AW49" i="3"/>
  <c r="AW56" i="3"/>
  <c r="AW58" i="3"/>
  <c r="AW60" i="3"/>
  <c r="AW63" i="3"/>
  <c r="AW65" i="3"/>
  <c r="AW67" i="3"/>
  <c r="AW69" i="3"/>
  <c r="AW71" i="3"/>
  <c r="AW53" i="3"/>
  <c r="AW54" i="3"/>
  <c r="AW59" i="3"/>
  <c r="AW62" i="3"/>
  <c r="AW61" i="3"/>
  <c r="AW64" i="3"/>
  <c r="AW66" i="3"/>
  <c r="AW68" i="3"/>
  <c r="AW72" i="3"/>
  <c r="AW70" i="3"/>
  <c r="I176" i="3"/>
  <c r="I74" i="3"/>
  <c r="AD73" i="3"/>
  <c r="J73" i="3"/>
  <c r="N73" i="3"/>
  <c r="R73" i="3"/>
  <c r="V73" i="3"/>
  <c r="Z73" i="3"/>
  <c r="K73" i="3"/>
  <c r="O73" i="3"/>
  <c r="S73" i="3"/>
  <c r="W73" i="3"/>
  <c r="AA73" i="3"/>
  <c r="L73" i="3"/>
  <c r="P73" i="3"/>
  <c r="T73" i="3"/>
  <c r="X73" i="3"/>
  <c r="AB73" i="3"/>
  <c r="Q73" i="3"/>
  <c r="U73" i="3"/>
  <c r="AC73" i="3"/>
  <c r="Y73" i="3"/>
  <c r="M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A17" i="3"/>
  <c r="Z18" i="3"/>
  <c r="Z29" i="3" s="1"/>
  <c r="L156" i="3" s="1"/>
  <c r="Z51" i="3"/>
  <c r="Y51" i="3"/>
  <c r="AA51" i="3"/>
  <c r="K56" i="9" a="1"/>
  <c r="AD29" i="9"/>
  <c r="AA32" i="3" l="1"/>
  <c r="AA33" i="3"/>
  <c r="AA31" i="3"/>
  <c r="I177" i="3"/>
  <c r="I75" i="3"/>
  <c r="AD74" i="3"/>
  <c r="J74" i="3"/>
  <c r="N74" i="3"/>
  <c r="R74" i="3"/>
  <c r="V74" i="3"/>
  <c r="Z74" i="3"/>
  <c r="K74" i="3"/>
  <c r="O74" i="3"/>
  <c r="S74" i="3"/>
  <c r="W74" i="3"/>
  <c r="AA74" i="3"/>
  <c r="L74" i="3"/>
  <c r="P74" i="3"/>
  <c r="T74" i="3"/>
  <c r="X74" i="3"/>
  <c r="AB74" i="3"/>
  <c r="AE74" i="3"/>
  <c r="M74" i="3"/>
  <c r="AC74" i="3"/>
  <c r="Q74" i="3"/>
  <c r="Y74" i="3"/>
  <c r="U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Y35" i="3"/>
  <c r="AX37" i="3"/>
  <c r="AX39" i="3"/>
  <c r="AX41" i="3"/>
  <c r="AX43" i="3"/>
  <c r="AX36" i="3"/>
  <c r="AX38" i="3"/>
  <c r="AX40" i="3"/>
  <c r="AX42" i="3"/>
  <c r="AX46" i="3"/>
  <c r="AX49" i="3"/>
  <c r="AX54" i="3"/>
  <c r="AX56" i="3"/>
  <c r="AX58" i="3"/>
  <c r="AX60" i="3"/>
  <c r="AX62" i="3"/>
  <c r="AX48" i="3"/>
  <c r="AX52" i="3"/>
  <c r="AX45" i="3"/>
  <c r="AX50" i="3"/>
  <c r="AX44" i="3"/>
  <c r="AX47" i="3"/>
  <c r="AX51" i="3"/>
  <c r="AX53" i="3"/>
  <c r="AX61" i="3"/>
  <c r="AX64" i="3"/>
  <c r="AX66" i="3"/>
  <c r="AX68" i="3"/>
  <c r="AX70" i="3"/>
  <c r="AX72" i="3"/>
  <c r="AX55" i="3"/>
  <c r="AX63" i="3"/>
  <c r="AX65" i="3"/>
  <c r="AX67" i="3"/>
  <c r="AX57" i="3"/>
  <c r="AX59" i="3"/>
  <c r="AX71" i="3"/>
  <c r="AX69" i="3"/>
  <c r="AX73" i="3"/>
  <c r="AB17" i="3"/>
  <c r="AA18" i="3"/>
  <c r="AA29" i="3" s="1"/>
  <c r="L157" i="3" s="1"/>
  <c r="Z52" i="3"/>
  <c r="AB52" i="3"/>
  <c r="AA52" i="3"/>
  <c r="R74" i="9"/>
  <c r="U73" i="9"/>
  <c r="AC74" i="9"/>
  <c r="M74" i="9"/>
  <c r="P73" i="9"/>
  <c r="S72" i="9"/>
  <c r="V71" i="9"/>
  <c r="Y70" i="9"/>
  <c r="AB69" i="9"/>
  <c r="L69" i="9"/>
  <c r="O68" i="9"/>
  <c r="R67" i="9"/>
  <c r="U66" i="9"/>
  <c r="X65" i="9"/>
  <c r="AB74" i="9"/>
  <c r="L74" i="9"/>
  <c r="O73" i="9"/>
  <c r="R72" i="9"/>
  <c r="U71" i="9"/>
  <c r="X70" i="9"/>
  <c r="AA69" i="9"/>
  <c r="K69" i="9"/>
  <c r="N68" i="9"/>
  <c r="Q67" i="9"/>
  <c r="T66" i="9"/>
  <c r="W65" i="9"/>
  <c r="Z64" i="9"/>
  <c r="AC63" i="9"/>
  <c r="M63" i="9"/>
  <c r="P62" i="9"/>
  <c r="S61" i="9"/>
  <c r="V60" i="9"/>
  <c r="Y59" i="9"/>
  <c r="AB58" i="9"/>
  <c r="L58" i="9"/>
  <c r="O57" i="9"/>
  <c r="R56" i="9"/>
  <c r="X72" i="9"/>
  <c r="K71" i="9"/>
  <c r="Q69" i="9"/>
  <c r="W67" i="9"/>
  <c r="AC65" i="9"/>
  <c r="T64" i="9"/>
  <c r="R63" i="9"/>
  <c r="O62" i="9"/>
  <c r="M61" i="9"/>
  <c r="K60" i="9"/>
  <c r="AA58" i="9"/>
  <c r="Y57" i="9"/>
  <c r="W56" i="9"/>
  <c r="K74" i="9"/>
  <c r="X71" i="9"/>
  <c r="K70" i="9"/>
  <c r="Q68" i="9"/>
  <c r="W66" i="9"/>
  <c r="AC64" i="9"/>
  <c r="AA63" i="9"/>
  <c r="Y62" i="9"/>
  <c r="V61" i="9"/>
  <c r="T60" i="9"/>
  <c r="R59" i="9"/>
  <c r="O58" i="9"/>
  <c r="M57" i="9"/>
  <c r="K56" i="9"/>
  <c r="T72" i="9"/>
  <c r="Z70" i="9"/>
  <c r="M69" i="9"/>
  <c r="S67" i="9"/>
  <c r="Y65" i="9"/>
  <c r="Q64" i="9"/>
  <c r="O63" i="9"/>
  <c r="M62" i="9"/>
  <c r="AC60" i="9"/>
  <c r="AA59" i="9"/>
  <c r="Y58" i="9"/>
  <c r="V57" i="9"/>
  <c r="T56" i="9"/>
  <c r="Y72" i="9"/>
  <c r="L71" i="9"/>
  <c r="R69" i="9"/>
  <c r="X67" i="9"/>
  <c r="K66" i="9"/>
  <c r="U64" i="9"/>
  <c r="S63" i="9"/>
  <c r="Q62" i="9"/>
  <c r="S56" i="9"/>
  <c r="U57" i="9"/>
  <c r="W58" i="9"/>
  <c r="Z59" i="9"/>
  <c r="AB60" i="9"/>
  <c r="K62" i="9"/>
  <c r="X63" i="9"/>
  <c r="N65" i="9"/>
  <c r="P67" i="9"/>
  <c r="Z69" i="9"/>
  <c r="AB71" i="9"/>
  <c r="O56" i="9"/>
  <c r="AB57" i="9"/>
  <c r="P59" i="9"/>
  <c r="X60" i="9"/>
  <c r="R62" i="9"/>
  <c r="Z63" i="9"/>
  <c r="Q65" i="9"/>
  <c r="AA67" i="9"/>
  <c r="AC69" i="9"/>
  <c r="L72" i="9"/>
  <c r="P56" i="9"/>
  <c r="X57" i="9"/>
  <c r="L59" i="9"/>
  <c r="Y60" i="9"/>
  <c r="N62" i="9"/>
  <c r="V63" i="9"/>
  <c r="R65" i="9"/>
  <c r="T67" i="9"/>
  <c r="V69" i="9"/>
  <c r="M72" i="9"/>
  <c r="L56" i="9"/>
  <c r="T57" i="9"/>
  <c r="N59" i="9"/>
  <c r="U60" i="9"/>
  <c r="AC61" i="9"/>
  <c r="W63" i="9"/>
  <c r="M65" i="9"/>
  <c r="O67" i="9"/>
  <c r="Y69" i="9"/>
  <c r="AA71" i="9"/>
  <c r="N56" i="9"/>
  <c r="S57" i="9"/>
  <c r="T58" i="9"/>
  <c r="U59" i="9"/>
  <c r="Z60" i="9"/>
  <c r="AA61" i="9"/>
  <c r="AB62" i="9"/>
  <c r="N64" i="9"/>
  <c r="O65" i="9"/>
  <c r="P66" i="9"/>
  <c r="U67" i="9"/>
  <c r="V68" i="9"/>
  <c r="W69" i="9"/>
  <c r="AB70" i="9"/>
  <c r="AC71" i="9"/>
  <c r="K73" i="9"/>
  <c r="P74" i="9"/>
  <c r="P65" i="9"/>
  <c r="Q66" i="9"/>
  <c r="V67" i="9"/>
  <c r="W68" i="9"/>
  <c r="X69" i="9"/>
  <c r="AC70" i="9"/>
  <c r="K72" i="9"/>
  <c r="L73" i="9"/>
  <c r="Q74" i="9"/>
  <c r="M73" i="9"/>
  <c r="N74" i="9"/>
  <c r="M58" i="9"/>
  <c r="Q60" i="9"/>
  <c r="P64" i="9"/>
  <c r="W70" i="9"/>
  <c r="V66" i="9"/>
  <c r="X56" i="9"/>
  <c r="Z57" i="9"/>
  <c r="AC58" i="9"/>
  <c r="L60" i="9"/>
  <c r="N61" i="9"/>
  <c r="V62" i="9"/>
  <c r="K64" i="9"/>
  <c r="V65" i="9"/>
  <c r="M68" i="9"/>
  <c r="O70" i="9"/>
  <c r="Q72" i="9"/>
  <c r="Y56" i="9"/>
  <c r="N58" i="9"/>
  <c r="V59" i="9"/>
  <c r="P61" i="9"/>
  <c r="W62" i="9"/>
  <c r="L64" i="9"/>
  <c r="N66" i="9"/>
  <c r="P68" i="9"/>
  <c r="R70" i="9"/>
  <c r="AC72" i="9"/>
  <c r="U56" i="9"/>
  <c r="AC57" i="9"/>
  <c r="W59" i="9"/>
  <c r="L61" i="9"/>
  <c r="S62" i="9"/>
  <c r="M64" i="9"/>
  <c r="Z65" i="9"/>
  <c r="AB67" i="9"/>
  <c r="S70" i="9"/>
  <c r="U72" i="9"/>
  <c r="Q56" i="9"/>
  <c r="K58" i="9"/>
  <c r="S59" i="9"/>
  <c r="AA60" i="9"/>
  <c r="U62" i="9"/>
  <c r="AB63" i="9"/>
  <c r="U65" i="9"/>
  <c r="L68" i="9"/>
  <c r="N70" i="9"/>
  <c r="P72" i="9"/>
  <c r="V56" i="9"/>
  <c r="W57" i="9"/>
  <c r="X58" i="9"/>
  <c r="AC59" i="9"/>
  <c r="K61" i="9"/>
  <c r="L62" i="9"/>
  <c r="Q63" i="9"/>
  <c r="R64" i="9"/>
  <c r="S65" i="9"/>
  <c r="X66" i="9"/>
  <c r="Y67" i="9"/>
  <c r="Z68" i="9"/>
  <c r="L70" i="9"/>
  <c r="M71" i="9"/>
  <c r="N72" i="9"/>
  <c r="S73" i="9"/>
  <c r="T74" i="9"/>
  <c r="T65" i="9"/>
  <c r="Y66" i="9"/>
  <c r="Z67" i="9"/>
  <c r="AA68" i="9"/>
  <c r="M70" i="9"/>
  <c r="N71" i="9"/>
  <c r="O72" i="9"/>
  <c r="T73" i="9"/>
  <c r="U74" i="9"/>
  <c r="Q73" i="9"/>
  <c r="V74" i="9"/>
  <c r="T61" i="9"/>
  <c r="U68" i="9"/>
  <c r="V73" i="9"/>
  <c r="L57" i="9"/>
  <c r="S58" i="9"/>
  <c r="M60" i="9"/>
  <c r="U61" i="9"/>
  <c r="W64" i="9"/>
  <c r="X68" i="9"/>
  <c r="O71" i="9"/>
  <c r="Z73" i="9"/>
  <c r="AA56" i="9"/>
  <c r="U58" i="9"/>
  <c r="AB59" i="9"/>
  <c r="Q61" i="9"/>
  <c r="K63" i="9"/>
  <c r="S64" i="9"/>
  <c r="O66" i="9"/>
  <c r="Y68" i="9"/>
  <c r="AA70" i="9"/>
  <c r="N73" i="9"/>
  <c r="AB56" i="9"/>
  <c r="Q58" i="9"/>
  <c r="X59" i="9"/>
  <c r="R61" i="9"/>
  <c r="Z62" i="9"/>
  <c r="O64" i="9"/>
  <c r="R66" i="9"/>
  <c r="T68" i="9"/>
  <c r="V70" i="9"/>
  <c r="R73" i="9"/>
  <c r="Z56" i="9"/>
  <c r="AA57" i="9"/>
  <c r="M59" i="9"/>
  <c r="N60" i="9"/>
  <c r="O61" i="9"/>
  <c r="T62" i="9"/>
  <c r="U63" i="9"/>
  <c r="V64" i="9"/>
  <c r="AA65" i="9"/>
  <c r="AB66" i="9"/>
  <c r="AC67" i="9"/>
  <c r="O69" i="9"/>
  <c r="P70" i="9"/>
  <c r="Q71" i="9"/>
  <c r="V72" i="9"/>
  <c r="W73" i="9"/>
  <c r="X74" i="9"/>
  <c r="AB65" i="9"/>
  <c r="AC66" i="9"/>
  <c r="K68" i="9"/>
  <c r="P69" i="9"/>
  <c r="Q70" i="9"/>
  <c r="R71" i="9"/>
  <c r="W72" i="9"/>
  <c r="X73" i="9"/>
  <c r="Y74" i="9"/>
  <c r="Y73" i="9"/>
  <c r="Z74" i="9"/>
  <c r="AC56" i="9"/>
  <c r="O59" i="9"/>
  <c r="AA62" i="9"/>
  <c r="S66" i="9"/>
  <c r="AC62" i="9"/>
  <c r="M56" i="9"/>
  <c r="P57" i="9"/>
  <c r="R58" i="9"/>
  <c r="T59" i="9"/>
  <c r="W60" i="9"/>
  <c r="Y61" i="9"/>
  <c r="N63" i="9"/>
  <c r="AA64" i="9"/>
  <c r="AA66" i="9"/>
  <c r="AC68" i="9"/>
  <c r="T71" i="9"/>
  <c r="S74" i="9"/>
  <c r="Q57" i="9"/>
  <c r="K59" i="9"/>
  <c r="S60" i="9"/>
  <c r="Z61" i="9"/>
  <c r="T63" i="9"/>
  <c r="AB64" i="9"/>
  <c r="K67" i="9"/>
  <c r="U69" i="9"/>
  <c r="W71" i="9"/>
  <c r="W74" i="9"/>
  <c r="R57" i="9"/>
  <c r="Z58" i="9"/>
  <c r="O60" i="9"/>
  <c r="AB61" i="9"/>
  <c r="P63" i="9"/>
  <c r="X64" i="9"/>
  <c r="L67" i="9"/>
  <c r="N69" i="9"/>
  <c r="P71" i="9"/>
  <c r="AA74" i="9"/>
  <c r="N57" i="9"/>
  <c r="V58" i="9"/>
  <c r="P60" i="9"/>
  <c r="X61" i="9"/>
  <c r="L63" i="9"/>
  <c r="Y64" i="9"/>
  <c r="Z66" i="9"/>
  <c r="AB68" i="9"/>
  <c r="S71" i="9"/>
  <c r="O74" i="9"/>
  <c r="K57" i="9"/>
  <c r="P58" i="9"/>
  <c r="Q59" i="9"/>
  <c r="R60" i="9"/>
  <c r="W61" i="9"/>
  <c r="X62" i="9"/>
  <c r="Y63" i="9"/>
  <c r="K65" i="9"/>
  <c r="L66" i="9"/>
  <c r="M67" i="9"/>
  <c r="R68" i="9"/>
  <c r="S69" i="9"/>
  <c r="T70" i="9"/>
  <c r="Y71" i="9"/>
  <c r="Z72" i="9"/>
  <c r="AA73" i="9"/>
  <c r="L65" i="9"/>
  <c r="M66" i="9"/>
  <c r="N67" i="9"/>
  <c r="S68" i="9"/>
  <c r="T69" i="9"/>
  <c r="U70" i="9"/>
  <c r="Z71" i="9"/>
  <c r="AA72" i="9"/>
  <c r="AB73" i="9"/>
  <c r="AB72" i="9"/>
  <c r="AC73" i="9"/>
  <c r="AB33" i="3" l="1"/>
  <c r="AB31" i="3"/>
  <c r="AB32" i="3"/>
  <c r="AZ35" i="3"/>
  <c r="AY45" i="3"/>
  <c r="AY47" i="3"/>
  <c r="AY49" i="3"/>
  <c r="AY36" i="3"/>
  <c r="AY40" i="3"/>
  <c r="AY44" i="3"/>
  <c r="AY51" i="3"/>
  <c r="AY53" i="3"/>
  <c r="AY37" i="3"/>
  <c r="AY41" i="3"/>
  <c r="AY46" i="3"/>
  <c r="AY54" i="3"/>
  <c r="AY56" i="3"/>
  <c r="AY38" i="3"/>
  <c r="AY42" i="3"/>
  <c r="AY48" i="3"/>
  <c r="AY39" i="3"/>
  <c r="AY43" i="3"/>
  <c r="AY50" i="3"/>
  <c r="AY57" i="3"/>
  <c r="AY59" i="3"/>
  <c r="AY58" i="3"/>
  <c r="AY61" i="3"/>
  <c r="AY64" i="3"/>
  <c r="AY66" i="3"/>
  <c r="AY68" i="3"/>
  <c r="AY70" i="3"/>
  <c r="AY72" i="3"/>
  <c r="AY52" i="3"/>
  <c r="AY55" i="3"/>
  <c r="AY60" i="3"/>
  <c r="AY62" i="3"/>
  <c r="AY63" i="3"/>
  <c r="AY65" i="3"/>
  <c r="AY67" i="3"/>
  <c r="AY69" i="3"/>
  <c r="AY74" i="3"/>
  <c r="AY71" i="3"/>
  <c r="AY73" i="3"/>
  <c r="I76" i="3"/>
  <c r="AD75" i="3"/>
  <c r="J75" i="3"/>
  <c r="N75" i="3"/>
  <c r="R75" i="3"/>
  <c r="V75" i="3"/>
  <c r="Z75" i="3"/>
  <c r="K75" i="3"/>
  <c r="O75" i="3"/>
  <c r="S75" i="3"/>
  <c r="W75" i="3"/>
  <c r="AA75" i="3"/>
  <c r="L75" i="3"/>
  <c r="P75" i="3"/>
  <c r="T75" i="3"/>
  <c r="X75" i="3"/>
  <c r="AB75" i="3"/>
  <c r="Y75" i="3"/>
  <c r="M75" i="3"/>
  <c r="AC75" i="3"/>
  <c r="Q75" i="3"/>
  <c r="U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I178" i="3"/>
  <c r="AC17" i="3"/>
  <c r="AB18" i="3"/>
  <c r="AB29" i="3" s="1"/>
  <c r="L158" i="3" s="1"/>
  <c r="AC53" i="3"/>
  <c r="AB53" i="3"/>
  <c r="AA53" i="3"/>
  <c r="M77" i="9" a="1"/>
  <c r="M83" i="9" s="1"/>
  <c r="N83" i="9" s="1"/>
  <c r="Q28" i="9" s="1"/>
  <c r="AC33" i="3" l="1"/>
  <c r="AC31" i="3"/>
  <c r="AC32" i="3"/>
  <c r="I77" i="3"/>
  <c r="AD76" i="3"/>
  <c r="J76" i="3"/>
  <c r="N76" i="3"/>
  <c r="R76" i="3"/>
  <c r="V76" i="3"/>
  <c r="Z76" i="3"/>
  <c r="K76" i="3"/>
  <c r="O76" i="3"/>
  <c r="S76" i="3"/>
  <c r="W76" i="3"/>
  <c r="AA76" i="3"/>
  <c r="L76" i="3"/>
  <c r="P76" i="3"/>
  <c r="T76" i="3"/>
  <c r="X76" i="3"/>
  <c r="AB76" i="3"/>
  <c r="U76" i="3"/>
  <c r="Y76" i="3"/>
  <c r="Q76" i="3"/>
  <c r="M76" i="3"/>
  <c r="AC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I179" i="3"/>
  <c r="BA35" i="3"/>
  <c r="AZ36" i="3"/>
  <c r="AZ38" i="3"/>
  <c r="AZ40" i="3"/>
  <c r="AZ42" i="3"/>
  <c r="AZ37" i="3"/>
  <c r="AZ39" i="3"/>
  <c r="AZ41" i="3"/>
  <c r="AZ43" i="3"/>
  <c r="AZ47" i="3"/>
  <c r="AZ50" i="3"/>
  <c r="AZ55" i="3"/>
  <c r="AZ57" i="3"/>
  <c r="AZ59" i="3"/>
  <c r="AZ61" i="3"/>
  <c r="AZ44" i="3"/>
  <c r="AZ49" i="3"/>
  <c r="AZ51" i="3"/>
  <c r="AZ53" i="3"/>
  <c r="AZ46" i="3"/>
  <c r="AZ45" i="3"/>
  <c r="AZ48" i="3"/>
  <c r="AZ52" i="3"/>
  <c r="AZ62" i="3"/>
  <c r="AZ63" i="3"/>
  <c r="AZ65" i="3"/>
  <c r="AZ67" i="3"/>
  <c r="AZ69" i="3"/>
  <c r="AZ71" i="3"/>
  <c r="AZ73" i="3"/>
  <c r="AZ75" i="3"/>
  <c r="AZ56" i="3"/>
  <c r="AZ58" i="3"/>
  <c r="AZ64" i="3"/>
  <c r="AZ66" i="3"/>
  <c r="AZ54" i="3"/>
  <c r="AZ60" i="3"/>
  <c r="AZ70" i="3"/>
  <c r="AZ68" i="3"/>
  <c r="AZ72" i="3"/>
  <c r="AZ74" i="3"/>
  <c r="AD17" i="3"/>
  <c r="AC18" i="3"/>
  <c r="AC29" i="3" s="1"/>
  <c r="L159" i="3" s="1"/>
  <c r="AC54" i="3"/>
  <c r="AB54" i="3"/>
  <c r="AD54" i="3"/>
  <c r="M80" i="9"/>
  <c r="N80" i="9" s="1"/>
  <c r="N28" i="9" s="1"/>
  <c r="M77" i="9"/>
  <c r="N77" i="9" s="1"/>
  <c r="K28" i="9" s="1"/>
  <c r="M93" i="9"/>
  <c r="N93" i="9" s="1"/>
  <c r="AA28" i="9" s="1"/>
  <c r="M90" i="9"/>
  <c r="N90" i="9" s="1"/>
  <c r="X28" i="9" s="1"/>
  <c r="M87" i="9"/>
  <c r="N87" i="9" s="1"/>
  <c r="U28" i="9" s="1"/>
  <c r="M84" i="9"/>
  <c r="N84" i="9" s="1"/>
  <c r="R28" i="9" s="1"/>
  <c r="M81" i="9"/>
  <c r="N81" i="9" s="1"/>
  <c r="O28" i="9" s="1"/>
  <c r="M78" i="9"/>
  <c r="N78" i="9" s="1"/>
  <c r="L28" i="9" s="1"/>
  <c r="M94" i="9"/>
  <c r="N94" i="9" s="1"/>
  <c r="AB28" i="9" s="1"/>
  <c r="M91" i="9"/>
  <c r="N91" i="9" s="1"/>
  <c r="Y28" i="9" s="1"/>
  <c r="M88" i="9"/>
  <c r="N88" i="9" s="1"/>
  <c r="V28" i="9" s="1"/>
  <c r="M85" i="9"/>
  <c r="N85" i="9" s="1"/>
  <c r="S28" i="9" s="1"/>
  <c r="M82" i="9"/>
  <c r="N82" i="9" s="1"/>
  <c r="P28" i="9" s="1"/>
  <c r="M79" i="9"/>
  <c r="N79" i="9" s="1"/>
  <c r="M28" i="9" s="1"/>
  <c r="M95" i="9"/>
  <c r="N95" i="9" s="1"/>
  <c r="AC28" i="9" s="1"/>
  <c r="M92" i="9"/>
  <c r="N92" i="9" s="1"/>
  <c r="Z28" i="9" s="1"/>
  <c r="M89" i="9"/>
  <c r="N89" i="9" s="1"/>
  <c r="W28" i="9" s="1"/>
  <c r="M86" i="9"/>
  <c r="N86" i="9" s="1"/>
  <c r="T28" i="9" s="1"/>
  <c r="AD33" i="3" l="1"/>
  <c r="AD31" i="3"/>
  <c r="AD32" i="3"/>
  <c r="AD18" i="3"/>
  <c r="AD29" i="3" s="1"/>
  <c r="L160" i="3" s="1"/>
  <c r="AD55" i="3"/>
  <c r="AE55" i="3"/>
  <c r="AC55" i="3"/>
  <c r="BB35" i="3"/>
  <c r="BA36" i="3"/>
  <c r="BA37" i="3"/>
  <c r="BA38" i="3"/>
  <c r="BA39" i="3"/>
  <c r="BA40" i="3"/>
  <c r="BA41" i="3"/>
  <c r="BA42" i="3"/>
  <c r="BA43" i="3"/>
  <c r="BA44" i="3"/>
  <c r="BA46" i="3"/>
  <c r="BA48" i="3"/>
  <c r="BA50" i="3"/>
  <c r="BA45" i="3"/>
  <c r="BA52" i="3"/>
  <c r="BA47" i="3"/>
  <c r="BA55" i="3"/>
  <c r="BA57" i="3"/>
  <c r="BA49" i="3"/>
  <c r="BA51" i="3"/>
  <c r="BA54" i="3"/>
  <c r="BA60" i="3"/>
  <c r="BA59" i="3"/>
  <c r="BA62" i="3"/>
  <c r="BA63" i="3"/>
  <c r="BA65" i="3"/>
  <c r="BA67" i="3"/>
  <c r="BA69" i="3"/>
  <c r="BA71" i="3"/>
  <c r="BA56" i="3"/>
  <c r="BA61" i="3"/>
  <c r="BA53" i="3"/>
  <c r="BA58" i="3"/>
  <c r="BA64" i="3"/>
  <c r="BA66" i="3"/>
  <c r="BA68" i="3"/>
  <c r="BA73" i="3"/>
  <c r="BA76" i="3"/>
  <c r="BA70" i="3"/>
  <c r="BA75" i="3"/>
  <c r="BA72" i="3"/>
  <c r="BA74" i="3"/>
  <c r="I78" i="3"/>
  <c r="AD77" i="3"/>
  <c r="AE77" i="3"/>
  <c r="J77" i="3"/>
  <c r="N77" i="3"/>
  <c r="R77" i="3"/>
  <c r="V77" i="3"/>
  <c r="Z77" i="3"/>
  <c r="K77" i="3"/>
  <c r="O77" i="3"/>
  <c r="S77" i="3"/>
  <c r="W77" i="3"/>
  <c r="AA77" i="3"/>
  <c r="L77" i="3"/>
  <c r="P77" i="3"/>
  <c r="T77" i="3"/>
  <c r="X77" i="3"/>
  <c r="AB77" i="3"/>
  <c r="Q77" i="3"/>
  <c r="U77" i="3"/>
  <c r="AC77" i="3"/>
  <c r="Y77" i="3"/>
  <c r="M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I180" i="3"/>
  <c r="AE17" i="3"/>
  <c r="O77" i="9" a="1"/>
  <c r="O82" i="9" s="1"/>
  <c r="P82" i="9" s="1"/>
  <c r="P27" i="9" s="1"/>
  <c r="AE33" i="3" l="1"/>
  <c r="AE31" i="3"/>
  <c r="AE32" i="3"/>
  <c r="I181" i="3"/>
  <c r="AD78" i="3"/>
  <c r="J78" i="3"/>
  <c r="N78" i="3"/>
  <c r="R78" i="3"/>
  <c r="V78" i="3"/>
  <c r="Z78" i="3"/>
  <c r="K78" i="3"/>
  <c r="O78" i="3"/>
  <c r="S78" i="3"/>
  <c r="W78" i="3"/>
  <c r="AA78" i="3"/>
  <c r="I79" i="3"/>
  <c r="L78" i="3"/>
  <c r="P78" i="3"/>
  <c r="T78" i="3"/>
  <c r="X78" i="3"/>
  <c r="AB78" i="3"/>
  <c r="M78" i="3"/>
  <c r="AC78" i="3"/>
  <c r="Q78" i="3"/>
  <c r="U78" i="3"/>
  <c r="Y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AE18" i="3"/>
  <c r="AE29" i="3" s="1"/>
  <c r="L161" i="3" s="1"/>
  <c r="AE56" i="3"/>
  <c r="AD56" i="3"/>
  <c r="AF56" i="3"/>
  <c r="BC35" i="3"/>
  <c r="BB37" i="3"/>
  <c r="BB39" i="3"/>
  <c r="BB41" i="3"/>
  <c r="BB43" i="3"/>
  <c r="BB36" i="3"/>
  <c r="BB38" i="3"/>
  <c r="BB40" i="3"/>
  <c r="BB42" i="3"/>
  <c r="BB48" i="3"/>
  <c r="BB54" i="3"/>
  <c r="BB56" i="3"/>
  <c r="BB58" i="3"/>
  <c r="BB60" i="3"/>
  <c r="BB62" i="3"/>
  <c r="BB45" i="3"/>
  <c r="BB50" i="3"/>
  <c r="BB52" i="3"/>
  <c r="BB44" i="3"/>
  <c r="BB47" i="3"/>
  <c r="BB46" i="3"/>
  <c r="BB49" i="3"/>
  <c r="BB51" i="3"/>
  <c r="BB53" i="3"/>
  <c r="BB64" i="3"/>
  <c r="BB66" i="3"/>
  <c r="BB68" i="3"/>
  <c r="BB70" i="3"/>
  <c r="BB72" i="3"/>
  <c r="BB74" i="3"/>
  <c r="BB76" i="3"/>
  <c r="BB57" i="3"/>
  <c r="BB59" i="3"/>
  <c r="BB63" i="3"/>
  <c r="BB65" i="3"/>
  <c r="BB67" i="3"/>
  <c r="BB55" i="3"/>
  <c r="BB61" i="3"/>
  <c r="BB71" i="3"/>
  <c r="BB73" i="3"/>
  <c r="BB69" i="3"/>
  <c r="BB77" i="3"/>
  <c r="BB75" i="3"/>
  <c r="BH20" i="3"/>
  <c r="BH22" i="3"/>
  <c r="BH24" i="3"/>
  <c r="BH26" i="3"/>
  <c r="BH28" i="3"/>
  <c r="BH19" i="3"/>
  <c r="BH21" i="3"/>
  <c r="BH23" i="3"/>
  <c r="BH25" i="3"/>
  <c r="BH27" i="3"/>
  <c r="AF17" i="3"/>
  <c r="O91" i="9"/>
  <c r="P91" i="9" s="1"/>
  <c r="Y27" i="9" s="1"/>
  <c r="O87" i="9"/>
  <c r="P87" i="9" s="1"/>
  <c r="U27" i="9" s="1"/>
  <c r="O92" i="9"/>
  <c r="P92" i="9" s="1"/>
  <c r="Z27" i="9" s="1"/>
  <c r="O89" i="9"/>
  <c r="P89" i="9" s="1"/>
  <c r="W27" i="9" s="1"/>
  <c r="O86" i="9"/>
  <c r="P86" i="9" s="1"/>
  <c r="T27" i="9" s="1"/>
  <c r="O79" i="9"/>
  <c r="P79" i="9" s="1"/>
  <c r="M27" i="9" s="1"/>
  <c r="O80" i="9"/>
  <c r="P80" i="9" s="1"/>
  <c r="N27" i="9" s="1"/>
  <c r="O77" i="9"/>
  <c r="P77" i="9" s="1"/>
  <c r="K27" i="9" s="1"/>
  <c r="O93" i="9"/>
  <c r="P93" i="9" s="1"/>
  <c r="AA27" i="9" s="1"/>
  <c r="O90" i="9"/>
  <c r="P90" i="9" s="1"/>
  <c r="X27" i="9" s="1"/>
  <c r="O95" i="9"/>
  <c r="P95" i="9" s="1"/>
  <c r="AC27" i="9" s="1"/>
  <c r="O84" i="9"/>
  <c r="P84" i="9" s="1"/>
  <c r="R27" i="9" s="1"/>
  <c r="O81" i="9"/>
  <c r="P81" i="9" s="1"/>
  <c r="O27" i="9" s="1"/>
  <c r="O78" i="9"/>
  <c r="P78" i="9" s="1"/>
  <c r="L27" i="9" s="1"/>
  <c r="O94" i="9"/>
  <c r="P94" i="9" s="1"/>
  <c r="AB27" i="9" s="1"/>
  <c r="O83" i="9"/>
  <c r="P83" i="9" s="1"/>
  <c r="Q27" i="9" s="1"/>
  <c r="O88" i="9"/>
  <c r="P88" i="9" s="1"/>
  <c r="V27" i="9" s="1"/>
  <c r="O85" i="9"/>
  <c r="P85" i="9" s="1"/>
  <c r="S27" i="9" s="1"/>
  <c r="AF31" i="3" l="1"/>
  <c r="AF32" i="3"/>
  <c r="AF33" i="3"/>
  <c r="AF18" i="3"/>
  <c r="AF29" i="3" s="1"/>
  <c r="L162" i="3" s="1"/>
  <c r="AF57" i="3"/>
  <c r="AG57" i="3"/>
  <c r="AE57" i="3"/>
  <c r="BD35" i="3"/>
  <c r="BC45" i="3"/>
  <c r="BC47" i="3"/>
  <c r="BC49" i="3"/>
  <c r="BC39" i="3"/>
  <c r="BC43" i="3"/>
  <c r="BC46" i="3"/>
  <c r="BC51" i="3"/>
  <c r="BC53" i="3"/>
  <c r="BC36" i="3"/>
  <c r="BC40" i="3"/>
  <c r="BC48" i="3"/>
  <c r="BC54" i="3"/>
  <c r="BC56" i="3"/>
  <c r="BC37" i="3"/>
  <c r="BC41" i="3"/>
  <c r="BC50" i="3"/>
  <c r="BC38" i="3"/>
  <c r="BC42" i="3"/>
  <c r="BC44" i="3"/>
  <c r="BC55" i="3"/>
  <c r="BC58" i="3"/>
  <c r="BC61" i="3"/>
  <c r="BC60" i="3"/>
  <c r="BC64" i="3"/>
  <c r="BC66" i="3"/>
  <c r="BC68" i="3"/>
  <c r="BC70" i="3"/>
  <c r="BC72" i="3"/>
  <c r="BC57" i="3"/>
  <c r="BC62" i="3"/>
  <c r="BC52" i="3"/>
  <c r="BC59" i="3"/>
  <c r="BC63" i="3"/>
  <c r="BC65" i="3"/>
  <c r="BC67" i="3"/>
  <c r="BC69" i="3"/>
  <c r="BC74" i="3"/>
  <c r="BC77" i="3"/>
  <c r="BC71" i="3"/>
  <c r="BC76" i="3"/>
  <c r="BC75" i="3"/>
  <c r="BC73" i="3"/>
  <c r="BC78" i="3"/>
  <c r="I80" i="3"/>
  <c r="J79" i="3"/>
  <c r="N79" i="3"/>
  <c r="R79" i="3"/>
  <c r="V79" i="3"/>
  <c r="Z79" i="3"/>
  <c r="K79" i="3"/>
  <c r="O79" i="3"/>
  <c r="S79" i="3"/>
  <c r="W79" i="3"/>
  <c r="AA79" i="3"/>
  <c r="L79" i="3"/>
  <c r="P79" i="3"/>
  <c r="T79" i="3"/>
  <c r="X79" i="3"/>
  <c r="AB79" i="3"/>
  <c r="AD79" i="3"/>
  <c r="Y79" i="3"/>
  <c r="M79" i="3"/>
  <c r="AC79" i="3"/>
  <c r="U79" i="3"/>
  <c r="Q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AZ79" i="3"/>
  <c r="I182" i="3"/>
  <c r="AG17" i="3"/>
  <c r="Q77" i="9" a="1"/>
  <c r="Q93" i="9" s="1"/>
  <c r="R93" i="9" s="1"/>
  <c r="AA26" i="9" s="1"/>
  <c r="AG31" i="3" l="1"/>
  <c r="AG32" i="3"/>
  <c r="AG33" i="3"/>
  <c r="AG18" i="3"/>
  <c r="AG29" i="3" s="1"/>
  <c r="L163" i="3" s="1"/>
  <c r="AG58" i="3"/>
  <c r="AH58" i="3"/>
  <c r="AF58" i="3"/>
  <c r="I81" i="3"/>
  <c r="AD80" i="3"/>
  <c r="J80" i="3"/>
  <c r="N80" i="3"/>
  <c r="R80" i="3"/>
  <c r="V80" i="3"/>
  <c r="Z80" i="3"/>
  <c r="K80" i="3"/>
  <c r="O80" i="3"/>
  <c r="S80" i="3"/>
  <c r="W80" i="3"/>
  <c r="AA80" i="3"/>
  <c r="AE80" i="3"/>
  <c r="L80" i="3"/>
  <c r="P80" i="3"/>
  <c r="T80" i="3"/>
  <c r="X80" i="3"/>
  <c r="AB80" i="3"/>
  <c r="U80" i="3"/>
  <c r="Y80" i="3"/>
  <c r="AC80" i="3"/>
  <c r="M80" i="3"/>
  <c r="Q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AZ80" i="3"/>
  <c r="BA80" i="3"/>
  <c r="I183" i="3"/>
  <c r="BE35" i="3"/>
  <c r="BD36" i="3"/>
  <c r="BD38" i="3"/>
  <c r="BD40" i="3"/>
  <c r="BD42" i="3"/>
  <c r="BD37" i="3"/>
  <c r="BD39" i="3"/>
  <c r="BD41" i="3"/>
  <c r="BD44" i="3"/>
  <c r="BD49" i="3"/>
  <c r="BD55" i="3"/>
  <c r="BD57" i="3"/>
  <c r="BD59" i="3"/>
  <c r="BD61" i="3"/>
  <c r="BD43" i="3"/>
  <c r="BD46" i="3"/>
  <c r="BD51" i="3"/>
  <c r="BD53" i="3"/>
  <c r="BD45" i="3"/>
  <c r="BD48" i="3"/>
  <c r="BD47" i="3"/>
  <c r="BD50" i="3"/>
  <c r="BD52" i="3"/>
  <c r="BD63" i="3"/>
  <c r="BD65" i="3"/>
  <c r="BD67" i="3"/>
  <c r="BD69" i="3"/>
  <c r="BD71" i="3"/>
  <c r="BD73" i="3"/>
  <c r="BD75" i="3"/>
  <c r="BD77" i="3"/>
  <c r="BD54" i="3"/>
  <c r="BD58" i="3"/>
  <c r="BD60" i="3"/>
  <c r="BD64" i="3"/>
  <c r="BD66" i="3"/>
  <c r="BD56" i="3"/>
  <c r="BD62" i="3"/>
  <c r="BD68" i="3"/>
  <c r="BD72" i="3"/>
  <c r="BD74" i="3"/>
  <c r="BD79" i="3"/>
  <c r="BD78" i="3"/>
  <c r="BD76" i="3"/>
  <c r="BD70" i="3"/>
  <c r="AH17" i="3"/>
  <c r="Q94" i="9"/>
  <c r="R94" i="9" s="1"/>
  <c r="AB26" i="9" s="1"/>
  <c r="Q87" i="9"/>
  <c r="R87" i="9" s="1"/>
  <c r="U26" i="9" s="1"/>
  <c r="Q84" i="9"/>
  <c r="R84" i="9" s="1"/>
  <c r="Q81" i="9"/>
  <c r="R81" i="9" s="1"/>
  <c r="O26" i="9" s="1"/>
  <c r="Q86" i="9"/>
  <c r="R86" i="9" s="1"/>
  <c r="T26" i="9" s="1"/>
  <c r="Q82" i="9"/>
  <c r="R82" i="9" s="1"/>
  <c r="P26" i="9" s="1"/>
  <c r="Q91" i="9"/>
  <c r="R91" i="9" s="1"/>
  <c r="Y26" i="9" s="1"/>
  <c r="Q88" i="9"/>
  <c r="R88" i="9" s="1"/>
  <c r="V26" i="9" s="1"/>
  <c r="Q85" i="9"/>
  <c r="R85" i="9" s="1"/>
  <c r="S26" i="9" s="1"/>
  <c r="Q90" i="9"/>
  <c r="R90" i="9" s="1"/>
  <c r="X26" i="9" s="1"/>
  <c r="Q79" i="9"/>
  <c r="R79" i="9" s="1"/>
  <c r="M26" i="9" s="1"/>
  <c r="Q95" i="9"/>
  <c r="R95" i="9" s="1"/>
  <c r="AC26" i="9" s="1"/>
  <c r="Q92" i="9"/>
  <c r="R92" i="9" s="1"/>
  <c r="Z26" i="9" s="1"/>
  <c r="Q89" i="9"/>
  <c r="R89" i="9" s="1"/>
  <c r="W26" i="9" s="1"/>
  <c r="Q78" i="9"/>
  <c r="R78" i="9" s="1"/>
  <c r="L26" i="9" s="1"/>
  <c r="Q83" i="9"/>
  <c r="R83" i="9" s="1"/>
  <c r="Q26" i="9" s="1"/>
  <c r="Q80" i="9"/>
  <c r="R80" i="9" s="1"/>
  <c r="N26" i="9" s="1"/>
  <c r="Q77" i="9"/>
  <c r="R77" i="9" s="1"/>
  <c r="K26" i="9" s="1"/>
  <c r="AH32" i="3" l="1"/>
  <c r="AH33" i="3"/>
  <c r="AH31" i="3"/>
  <c r="BF35" i="3"/>
  <c r="BE44" i="3"/>
  <c r="BE46" i="3"/>
  <c r="BE48" i="3"/>
  <c r="BE50" i="3"/>
  <c r="BE38" i="3"/>
  <c r="BE42" i="3"/>
  <c r="BE47" i="3"/>
  <c r="BE52" i="3"/>
  <c r="BE39" i="3"/>
  <c r="BE49" i="3"/>
  <c r="BE55" i="3"/>
  <c r="BE36" i="3"/>
  <c r="BE40" i="3"/>
  <c r="BE43" i="3"/>
  <c r="BE51" i="3"/>
  <c r="BE37" i="3"/>
  <c r="BE41" i="3"/>
  <c r="BE45" i="3"/>
  <c r="BE53" i="3"/>
  <c r="BE56" i="3"/>
  <c r="BE59" i="3"/>
  <c r="BE62" i="3"/>
  <c r="BE61" i="3"/>
  <c r="BE63" i="3"/>
  <c r="BE65" i="3"/>
  <c r="BE67" i="3"/>
  <c r="BE69" i="3"/>
  <c r="BE71" i="3"/>
  <c r="BE54" i="3"/>
  <c r="BE58" i="3"/>
  <c r="BE57" i="3"/>
  <c r="BE60" i="3"/>
  <c r="BE64" i="3"/>
  <c r="BE66" i="3"/>
  <c r="BE68" i="3"/>
  <c r="BE75" i="3"/>
  <c r="BE78" i="3"/>
  <c r="BE80" i="3"/>
  <c r="BE72" i="3"/>
  <c r="BE77" i="3"/>
  <c r="BE70" i="3"/>
  <c r="BE73" i="3"/>
  <c r="BE76" i="3"/>
  <c r="BE74" i="3"/>
  <c r="BE79" i="3"/>
  <c r="AH18" i="3"/>
  <c r="AH29" i="3" s="1"/>
  <c r="L164" i="3" s="1"/>
  <c r="AH59" i="3"/>
  <c r="AG59" i="3"/>
  <c r="AI59" i="3"/>
  <c r="I184" i="3"/>
  <c r="I82" i="3"/>
  <c r="AD81" i="3"/>
  <c r="J81" i="3"/>
  <c r="N81" i="3"/>
  <c r="R81" i="3"/>
  <c r="V81" i="3"/>
  <c r="Z81" i="3"/>
  <c r="K81" i="3"/>
  <c r="O81" i="3"/>
  <c r="S81" i="3"/>
  <c r="W81" i="3"/>
  <c r="AA81" i="3"/>
  <c r="L81" i="3"/>
  <c r="P81" i="3"/>
  <c r="T81" i="3"/>
  <c r="X81" i="3"/>
  <c r="AB81" i="3"/>
  <c r="Q81" i="3"/>
  <c r="U81" i="3"/>
  <c r="M81" i="3"/>
  <c r="Y81" i="3"/>
  <c r="AC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AZ81" i="3"/>
  <c r="BA81" i="3"/>
  <c r="BB81" i="3"/>
  <c r="AI17" i="3"/>
  <c r="S77" i="9" a="1"/>
  <c r="S92" i="9" s="1"/>
  <c r="T92" i="9" s="1"/>
  <c r="Z25" i="9" s="1"/>
  <c r="AI33" i="3" l="1"/>
  <c r="AI31" i="3"/>
  <c r="AI32" i="3"/>
  <c r="AI18" i="3"/>
  <c r="AI29" i="3" s="1"/>
  <c r="L165" i="3" s="1"/>
  <c r="AI60" i="3"/>
  <c r="AH60" i="3"/>
  <c r="AJ60" i="3"/>
  <c r="I185" i="3"/>
  <c r="I83" i="3"/>
  <c r="AD82" i="3"/>
  <c r="J82" i="3"/>
  <c r="N82" i="3"/>
  <c r="R82" i="3"/>
  <c r="V82" i="3"/>
  <c r="Z82" i="3"/>
  <c r="AE82" i="3"/>
  <c r="K82" i="3"/>
  <c r="O82" i="3"/>
  <c r="S82" i="3"/>
  <c r="W82" i="3"/>
  <c r="AA82" i="3"/>
  <c r="L82" i="3"/>
  <c r="P82" i="3"/>
  <c r="T82" i="3"/>
  <c r="X82" i="3"/>
  <c r="AB82" i="3"/>
  <c r="M82" i="3"/>
  <c r="AC82" i="3"/>
  <c r="Y82" i="3"/>
  <c r="Q82" i="3"/>
  <c r="U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AZ82" i="3"/>
  <c r="BA82" i="3"/>
  <c r="BB82" i="3"/>
  <c r="BC82" i="3"/>
  <c r="BG35" i="3"/>
  <c r="BF37" i="3"/>
  <c r="BF39" i="3"/>
  <c r="BF41" i="3"/>
  <c r="BF43" i="3"/>
  <c r="BF36" i="3"/>
  <c r="BF38" i="3"/>
  <c r="BF40" i="3"/>
  <c r="BF42" i="3"/>
  <c r="BF45" i="3"/>
  <c r="BF50" i="3"/>
  <c r="BF54" i="3"/>
  <c r="BF56" i="3"/>
  <c r="BF58" i="3"/>
  <c r="BF60" i="3"/>
  <c r="BF62" i="3"/>
  <c r="BF44" i="3"/>
  <c r="BF47" i="3"/>
  <c r="BF52" i="3"/>
  <c r="BF46" i="3"/>
  <c r="BF49" i="3"/>
  <c r="BF48" i="3"/>
  <c r="BF51" i="3"/>
  <c r="BF53" i="3"/>
  <c r="BF57" i="3"/>
  <c r="BF64" i="3"/>
  <c r="BF66" i="3"/>
  <c r="BF68" i="3"/>
  <c r="BF70" i="3"/>
  <c r="BF72" i="3"/>
  <c r="BF74" i="3"/>
  <c r="BF76" i="3"/>
  <c r="BF78" i="3"/>
  <c r="BF55" i="3"/>
  <c r="BF59" i="3"/>
  <c r="BF61" i="3"/>
  <c r="BF63" i="3"/>
  <c r="BF65" i="3"/>
  <c r="BF67" i="3"/>
  <c r="BF69" i="3"/>
  <c r="BF73" i="3"/>
  <c r="BF75" i="3"/>
  <c r="BF80" i="3"/>
  <c r="BF79" i="3"/>
  <c r="BF81" i="3"/>
  <c r="BF71" i="3"/>
  <c r="BF77" i="3"/>
  <c r="AJ17" i="3"/>
  <c r="S86" i="9"/>
  <c r="T86" i="9" s="1"/>
  <c r="T25" i="9" s="1"/>
  <c r="S81" i="9"/>
  <c r="T81" i="9" s="1"/>
  <c r="O25" i="9" s="1"/>
  <c r="S93" i="9"/>
  <c r="T93" i="9" s="1"/>
  <c r="AA25" i="9" s="1"/>
  <c r="S90" i="9"/>
  <c r="T90" i="9" s="1"/>
  <c r="X25" i="9" s="1"/>
  <c r="S87" i="9"/>
  <c r="T87" i="9" s="1"/>
  <c r="U25" i="9" s="1"/>
  <c r="S84" i="9"/>
  <c r="T84" i="9" s="1"/>
  <c r="R25" i="9" s="1"/>
  <c r="S77" i="9"/>
  <c r="T77" i="9" s="1"/>
  <c r="K25" i="9" s="1"/>
  <c r="S83" i="9"/>
  <c r="T83" i="9" s="1"/>
  <c r="Q25" i="9" s="1"/>
  <c r="S80" i="9"/>
  <c r="T80" i="9" s="1"/>
  <c r="N25" i="9" s="1"/>
  <c r="S85" i="9"/>
  <c r="T85" i="9" s="1"/>
  <c r="S25" i="9" s="1"/>
  <c r="S78" i="9"/>
  <c r="T78" i="9" s="1"/>
  <c r="L25" i="9" s="1"/>
  <c r="S94" i="9"/>
  <c r="T94" i="9" s="1"/>
  <c r="AB25" i="9" s="1"/>
  <c r="S91" i="9"/>
  <c r="T91" i="9" s="1"/>
  <c r="Y25" i="9" s="1"/>
  <c r="S88" i="9"/>
  <c r="T88" i="9" s="1"/>
  <c r="V25" i="9" s="1"/>
  <c r="S89" i="9"/>
  <c r="T89" i="9" s="1"/>
  <c r="W25" i="9" s="1"/>
  <c r="S82" i="9"/>
  <c r="T82" i="9" s="1"/>
  <c r="P25" i="9" s="1"/>
  <c r="S79" i="9"/>
  <c r="T79" i="9" s="1"/>
  <c r="M25" i="9" s="1"/>
  <c r="S95" i="9"/>
  <c r="T95" i="9" s="1"/>
  <c r="AC25" i="9" s="1"/>
  <c r="AJ32" i="3" l="1"/>
  <c r="AJ33" i="3"/>
  <c r="AJ31" i="3"/>
  <c r="BH35" i="3"/>
  <c r="BG43" i="3"/>
  <c r="BG45" i="3"/>
  <c r="BG47" i="3"/>
  <c r="BG49" i="3"/>
  <c r="BG37" i="3"/>
  <c r="BG41" i="3"/>
  <c r="BG48" i="3"/>
  <c r="BG51" i="3"/>
  <c r="BG53" i="3"/>
  <c r="BG38" i="3"/>
  <c r="BG42" i="3"/>
  <c r="BG50" i="3"/>
  <c r="BG54" i="3"/>
  <c r="BG56" i="3"/>
  <c r="BG39" i="3"/>
  <c r="BG44" i="3"/>
  <c r="BG36" i="3"/>
  <c r="BG40" i="3"/>
  <c r="BG46" i="3"/>
  <c r="BG52" i="3"/>
  <c r="BG60" i="3"/>
  <c r="BG57" i="3"/>
  <c r="BG62" i="3"/>
  <c r="BG64" i="3"/>
  <c r="BG66" i="3"/>
  <c r="BG68" i="3"/>
  <c r="BG70" i="3"/>
  <c r="BG55" i="3"/>
  <c r="BG59" i="3"/>
  <c r="BG58" i="3"/>
  <c r="BG61" i="3"/>
  <c r="BG63" i="3"/>
  <c r="BG65" i="3"/>
  <c r="BG67" i="3"/>
  <c r="BG76" i="3"/>
  <c r="BG79" i="3"/>
  <c r="BG81" i="3"/>
  <c r="BG69" i="3"/>
  <c r="BG73" i="3"/>
  <c r="BG78" i="3"/>
  <c r="BG71" i="3"/>
  <c r="BG74" i="3"/>
  <c r="BG77" i="3"/>
  <c r="BG82" i="3"/>
  <c r="BG72" i="3"/>
  <c r="BG80" i="3"/>
  <c r="BG75" i="3"/>
  <c r="AD83" i="3"/>
  <c r="J83" i="3"/>
  <c r="N83" i="3"/>
  <c r="R83" i="3"/>
  <c r="V83" i="3"/>
  <c r="Z83" i="3"/>
  <c r="I84" i="3"/>
  <c r="K83" i="3"/>
  <c r="O83" i="3"/>
  <c r="S83" i="3"/>
  <c r="W83" i="3"/>
  <c r="AA83" i="3"/>
  <c r="L83" i="3"/>
  <c r="P83" i="3"/>
  <c r="T83" i="3"/>
  <c r="X83" i="3"/>
  <c r="AB83" i="3"/>
  <c r="Y83" i="3"/>
  <c r="M83" i="3"/>
  <c r="AC83" i="3"/>
  <c r="U83" i="3"/>
  <c r="Q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AZ83" i="3"/>
  <c r="BA83" i="3"/>
  <c r="BB83" i="3"/>
  <c r="BC83" i="3"/>
  <c r="BD83" i="3"/>
  <c r="AJ18" i="3"/>
  <c r="AJ29" i="3" s="1"/>
  <c r="L166" i="3" s="1"/>
  <c r="AJ61" i="3"/>
  <c r="AK61" i="3"/>
  <c r="AI61" i="3"/>
  <c r="I186" i="3"/>
  <c r="AK17" i="3"/>
  <c r="U77" i="9" a="1"/>
  <c r="U95" i="9" s="1"/>
  <c r="V95" i="9" s="1"/>
  <c r="AC24" i="9" s="1"/>
  <c r="AK33" i="3" l="1"/>
  <c r="AK31" i="3"/>
  <c r="AK32" i="3"/>
  <c r="AK18" i="3"/>
  <c r="AK29" i="3" s="1"/>
  <c r="L167" i="3" s="1"/>
  <c r="AK62" i="3"/>
  <c r="AJ62" i="3"/>
  <c r="AL62" i="3"/>
  <c r="I187" i="3"/>
  <c r="AD84" i="3"/>
  <c r="AE84" i="3"/>
  <c r="J84" i="3"/>
  <c r="N84" i="3"/>
  <c r="R84" i="3"/>
  <c r="V84" i="3"/>
  <c r="Z84" i="3"/>
  <c r="K84" i="3"/>
  <c r="O84" i="3"/>
  <c r="S84" i="3"/>
  <c r="W84" i="3"/>
  <c r="AA84" i="3"/>
  <c r="L84" i="3"/>
  <c r="P84" i="3"/>
  <c r="T84" i="3"/>
  <c r="X84" i="3"/>
  <c r="AB84" i="3"/>
  <c r="U84" i="3"/>
  <c r="Y84" i="3"/>
  <c r="M84" i="3"/>
  <c r="AC84" i="3"/>
  <c r="Q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BB84" i="3"/>
  <c r="BC84" i="3"/>
  <c r="BD84" i="3"/>
  <c r="BE84" i="3"/>
  <c r="BH37" i="3"/>
  <c r="BH41" i="3"/>
  <c r="BH45" i="3"/>
  <c r="BH49" i="3"/>
  <c r="BH53" i="3"/>
  <c r="BH57" i="3"/>
  <c r="BH61" i="3"/>
  <c r="BH65" i="3"/>
  <c r="BH69" i="3"/>
  <c r="BH73" i="3"/>
  <c r="BH77" i="3"/>
  <c r="BH81" i="3"/>
  <c r="BH38" i="3"/>
  <c r="BH42" i="3"/>
  <c r="BH46" i="3"/>
  <c r="BH50" i="3"/>
  <c r="BH54" i="3"/>
  <c r="BH58" i="3"/>
  <c r="BH62" i="3"/>
  <c r="BH66" i="3"/>
  <c r="BH70" i="3"/>
  <c r="BH74" i="3"/>
  <c r="BH78" i="3"/>
  <c r="BH82" i="3"/>
  <c r="BH36" i="3"/>
  <c r="BH40" i="3"/>
  <c r="BH44" i="3"/>
  <c r="BH48" i="3"/>
  <c r="BH52" i="3"/>
  <c r="BH56" i="3"/>
  <c r="BH60" i="3"/>
  <c r="BH64" i="3"/>
  <c r="BH68" i="3"/>
  <c r="BH72" i="3"/>
  <c r="BH76" i="3"/>
  <c r="BH80" i="3"/>
  <c r="BH39" i="3"/>
  <c r="BH55" i="3"/>
  <c r="BH71" i="3"/>
  <c r="BH43" i="3"/>
  <c r="BH59" i="3"/>
  <c r="BH75" i="3"/>
  <c r="BH47" i="3"/>
  <c r="BH63" i="3"/>
  <c r="BH79" i="3"/>
  <c r="BH51" i="3"/>
  <c r="BH83" i="3"/>
  <c r="BH67" i="3"/>
  <c r="AL17" i="3"/>
  <c r="U94" i="9"/>
  <c r="V94" i="9" s="1"/>
  <c r="AB24" i="9" s="1"/>
  <c r="U83" i="9"/>
  <c r="V83" i="9" s="1"/>
  <c r="Q24" i="9" s="1"/>
  <c r="U77" i="9"/>
  <c r="V77" i="9" s="1"/>
  <c r="K24" i="9" s="1"/>
  <c r="U78" i="9"/>
  <c r="V78" i="9" s="1"/>
  <c r="L24" i="9" s="1"/>
  <c r="U80" i="9"/>
  <c r="V80" i="9" s="1"/>
  <c r="N24" i="9" s="1"/>
  <c r="U86" i="9"/>
  <c r="V86" i="9" s="1"/>
  <c r="T24" i="9" s="1"/>
  <c r="U87" i="9"/>
  <c r="V87" i="9" s="1"/>
  <c r="U24" i="9" s="1"/>
  <c r="U93" i="9"/>
  <c r="V93" i="9" s="1"/>
  <c r="AA24" i="9" s="1"/>
  <c r="U81" i="9"/>
  <c r="V81" i="9" s="1"/>
  <c r="O24" i="9" s="1"/>
  <c r="U82" i="9"/>
  <c r="V82" i="9" s="1"/>
  <c r="P24" i="9" s="1"/>
  <c r="U84" i="9"/>
  <c r="V84" i="9" s="1"/>
  <c r="R24" i="9" s="1"/>
  <c r="U85" i="9"/>
  <c r="V85" i="9" s="1"/>
  <c r="S24" i="9" s="1"/>
  <c r="U92" i="9"/>
  <c r="V92" i="9" s="1"/>
  <c r="Z24" i="9" s="1"/>
  <c r="U91" i="9"/>
  <c r="V91" i="9" s="1"/>
  <c r="Y24" i="9" s="1"/>
  <c r="U88" i="9"/>
  <c r="V88" i="9" s="1"/>
  <c r="V24" i="9" s="1"/>
  <c r="U89" i="9"/>
  <c r="V89" i="9" s="1"/>
  <c r="W24" i="9" s="1"/>
  <c r="U90" i="9"/>
  <c r="V90" i="9" s="1"/>
  <c r="X24" i="9" s="1"/>
  <c r="U79" i="9"/>
  <c r="V79" i="9" s="1"/>
  <c r="M24" i="9" s="1"/>
  <c r="AL33" i="3" l="1"/>
  <c r="AL31" i="3"/>
  <c r="AL32" i="3"/>
  <c r="I188" i="3"/>
  <c r="AL18" i="3"/>
  <c r="AL29" i="3" s="1"/>
  <c r="L168" i="3" s="1"/>
  <c r="AL63" i="3"/>
  <c r="AK63" i="3"/>
  <c r="AM63" i="3"/>
  <c r="AM17" i="3"/>
  <c r="W77" i="9" a="1"/>
  <c r="W86" i="9" s="1"/>
  <c r="X86" i="9" s="1"/>
  <c r="T23" i="9" s="1"/>
  <c r="AM32" i="3" l="1"/>
  <c r="AM31" i="3"/>
  <c r="AM33" i="3"/>
  <c r="AM18" i="3"/>
  <c r="AM29" i="3" s="1"/>
  <c r="L169" i="3" s="1"/>
  <c r="AM64" i="3"/>
  <c r="AL64" i="3"/>
  <c r="AN64" i="3"/>
  <c r="I189" i="3"/>
  <c r="AN17" i="3"/>
  <c r="W83" i="9"/>
  <c r="X83" i="9" s="1"/>
  <c r="Q23" i="9" s="1"/>
  <c r="W84" i="9"/>
  <c r="X84" i="9" s="1"/>
  <c r="R23" i="9" s="1"/>
  <c r="W85" i="9"/>
  <c r="X85" i="9" s="1"/>
  <c r="S23" i="9" s="1"/>
  <c r="W92" i="9"/>
  <c r="X92" i="9" s="1"/>
  <c r="Z23" i="9" s="1"/>
  <c r="W90" i="9"/>
  <c r="X90" i="9" s="1"/>
  <c r="X23" i="9" s="1"/>
  <c r="W88" i="9"/>
  <c r="X88" i="9" s="1"/>
  <c r="V23" i="9" s="1"/>
  <c r="W89" i="9"/>
  <c r="X89" i="9" s="1"/>
  <c r="W23" i="9" s="1"/>
  <c r="W91" i="9"/>
  <c r="X91" i="9" s="1"/>
  <c r="Y23" i="9" s="1"/>
  <c r="W78" i="9"/>
  <c r="X78" i="9" s="1"/>
  <c r="L23" i="9" s="1"/>
  <c r="W94" i="9"/>
  <c r="X94" i="9" s="1"/>
  <c r="AB23" i="9" s="1"/>
  <c r="W93" i="9"/>
  <c r="X93" i="9" s="1"/>
  <c r="AA23" i="9" s="1"/>
  <c r="W95" i="9"/>
  <c r="X95" i="9" s="1"/>
  <c r="AC23" i="9" s="1"/>
  <c r="W81" i="9"/>
  <c r="X81" i="9" s="1"/>
  <c r="O23" i="9" s="1"/>
  <c r="W82" i="9"/>
  <c r="X82" i="9" s="1"/>
  <c r="P23" i="9" s="1"/>
  <c r="W77" i="9"/>
  <c r="X77" i="9" s="1"/>
  <c r="K23" i="9" s="1"/>
  <c r="W79" i="9"/>
  <c r="X79" i="9" s="1"/>
  <c r="M23" i="9" s="1"/>
  <c r="W80" i="9"/>
  <c r="X80" i="9" s="1"/>
  <c r="N23" i="9" s="1"/>
  <c r="W87" i="9"/>
  <c r="X87" i="9" s="1"/>
  <c r="U23" i="9" s="1"/>
  <c r="AN32" i="3" l="1"/>
  <c r="AN33" i="3"/>
  <c r="AN31" i="3"/>
  <c r="AN18" i="3"/>
  <c r="AN29" i="3" s="1"/>
  <c r="L170" i="3" s="1"/>
  <c r="AN65" i="3"/>
  <c r="AO65" i="3"/>
  <c r="AM65" i="3"/>
  <c r="I190" i="3"/>
  <c r="AO17" i="3"/>
  <c r="Y77" i="9" a="1"/>
  <c r="Y92" i="9" s="1"/>
  <c r="Z92" i="9" s="1"/>
  <c r="Z22" i="9" s="1"/>
  <c r="AO32" i="3" l="1"/>
  <c r="AO33" i="3"/>
  <c r="AO31" i="3"/>
  <c r="AO18" i="3"/>
  <c r="AO29" i="3" s="1"/>
  <c r="L171" i="3" s="1"/>
  <c r="AO66" i="3"/>
  <c r="AP66" i="3"/>
  <c r="AN66" i="3"/>
  <c r="AP17" i="3"/>
  <c r="Y82" i="9"/>
  <c r="Z82" i="9" s="1"/>
  <c r="P22" i="9" s="1"/>
  <c r="Y78" i="9"/>
  <c r="Z78" i="9" s="1"/>
  <c r="L22" i="9" s="1"/>
  <c r="Y81" i="9"/>
  <c r="Z81" i="9" s="1"/>
  <c r="O22" i="9" s="1"/>
  <c r="Y80" i="9"/>
  <c r="Z80" i="9" s="1"/>
  <c r="N22" i="9" s="1"/>
  <c r="Y89" i="9"/>
  <c r="Z89" i="9" s="1"/>
  <c r="W22" i="9" s="1"/>
  <c r="Y79" i="9"/>
  <c r="Z79" i="9" s="1"/>
  <c r="M22" i="9" s="1"/>
  <c r="Y90" i="9"/>
  <c r="Z90" i="9" s="1"/>
  <c r="X22" i="9" s="1"/>
  <c r="Y86" i="9"/>
  <c r="Z86" i="9" s="1"/>
  <c r="T22" i="9" s="1"/>
  <c r="Y85" i="9"/>
  <c r="Z85" i="9" s="1"/>
  <c r="S22" i="9" s="1"/>
  <c r="Y84" i="9"/>
  <c r="Z84" i="9" s="1"/>
  <c r="R22" i="9" s="1"/>
  <c r="Y87" i="9"/>
  <c r="Z87" i="9" s="1"/>
  <c r="U22" i="9" s="1"/>
  <c r="Y83" i="9"/>
  <c r="Z83" i="9" s="1"/>
  <c r="Q22" i="9" s="1"/>
  <c r="Y94" i="9"/>
  <c r="Z94" i="9" s="1"/>
  <c r="AB22" i="9" s="1"/>
  <c r="Y88" i="9"/>
  <c r="Z88" i="9" s="1"/>
  <c r="V22" i="9" s="1"/>
  <c r="Y95" i="9"/>
  <c r="Z95" i="9" s="1"/>
  <c r="AC22" i="9" s="1"/>
  <c r="Y91" i="9"/>
  <c r="Z91" i="9" s="1"/>
  <c r="Y22" i="9" s="1"/>
  <c r="Y77" i="9"/>
  <c r="Z77" i="9" s="1"/>
  <c r="K22" i="9" s="1"/>
  <c r="Y93" i="9"/>
  <c r="Z93" i="9" s="1"/>
  <c r="AA22" i="9" s="1"/>
  <c r="AP32" i="3" l="1"/>
  <c r="AP33" i="3"/>
  <c r="AP31" i="3"/>
  <c r="AP18" i="3"/>
  <c r="AP29" i="3" s="1"/>
  <c r="L172" i="3" s="1"/>
  <c r="AP67" i="3"/>
  <c r="AO67" i="3"/>
  <c r="AQ67" i="3"/>
  <c r="AA77" i="9" a="1"/>
  <c r="AA87" i="9" s="1"/>
  <c r="AB87" i="9" s="1"/>
  <c r="U21" i="9" s="1"/>
  <c r="AQ17" i="3"/>
  <c r="AQ32" i="3" l="1"/>
  <c r="AQ33" i="3"/>
  <c r="AQ31" i="3"/>
  <c r="AQ18" i="3"/>
  <c r="AQ29" i="3" s="1"/>
  <c r="L173" i="3" s="1"/>
  <c r="AQ68" i="3"/>
  <c r="AP68" i="3"/>
  <c r="AR68" i="3"/>
  <c r="AA90" i="9"/>
  <c r="AB90" i="9" s="1"/>
  <c r="X21" i="9" s="1"/>
  <c r="AA78" i="9"/>
  <c r="AB78" i="9" s="1"/>
  <c r="L21" i="9" s="1"/>
  <c r="AA89" i="9"/>
  <c r="AB89" i="9" s="1"/>
  <c r="W21" i="9" s="1"/>
  <c r="AA92" i="9"/>
  <c r="AB92" i="9" s="1"/>
  <c r="Z21" i="9" s="1"/>
  <c r="AA91" i="9"/>
  <c r="AB91" i="9" s="1"/>
  <c r="Y21" i="9" s="1"/>
  <c r="AA77" i="9"/>
  <c r="AB77" i="9" s="1"/>
  <c r="K21" i="9" s="1"/>
  <c r="AA86" i="9"/>
  <c r="AB86" i="9" s="1"/>
  <c r="T21" i="9" s="1"/>
  <c r="AA80" i="9"/>
  <c r="AB80" i="9" s="1"/>
  <c r="N21" i="9" s="1"/>
  <c r="AA79" i="9"/>
  <c r="AB79" i="9" s="1"/>
  <c r="M21" i="9" s="1"/>
  <c r="AA95" i="9"/>
  <c r="AB95" i="9" s="1"/>
  <c r="AC21" i="9" s="1"/>
  <c r="AA85" i="9"/>
  <c r="AB85" i="9" s="1"/>
  <c r="S21" i="9" s="1"/>
  <c r="AA94" i="9"/>
  <c r="AB94" i="9" s="1"/>
  <c r="AB21" i="9" s="1"/>
  <c r="AA84" i="9"/>
  <c r="AB84" i="9" s="1"/>
  <c r="R21" i="9" s="1"/>
  <c r="AA83" i="9"/>
  <c r="AB83" i="9" s="1"/>
  <c r="Q21" i="9" s="1"/>
  <c r="AA82" i="9"/>
  <c r="AB82" i="9" s="1"/>
  <c r="P21" i="9" s="1"/>
  <c r="AA93" i="9"/>
  <c r="AB93" i="9" s="1"/>
  <c r="AA21" i="9" s="1"/>
  <c r="AA81" i="9"/>
  <c r="AB81" i="9" s="1"/>
  <c r="O21" i="9" s="1"/>
  <c r="AA88" i="9"/>
  <c r="AB88" i="9" s="1"/>
  <c r="V21" i="9" s="1"/>
  <c r="AR17" i="3"/>
  <c r="AR33" i="3" l="1"/>
  <c r="AR31" i="3"/>
  <c r="AR32" i="3"/>
  <c r="AR18" i="3"/>
  <c r="AR29" i="3" s="1"/>
  <c r="L174" i="3" s="1"/>
  <c r="AR69" i="3"/>
  <c r="AQ69" i="3"/>
  <c r="AS69" i="3"/>
  <c r="AC77" i="9" a="1"/>
  <c r="AC82" i="9" s="1"/>
  <c r="AD82" i="9" s="1"/>
  <c r="P20" i="9" s="1"/>
  <c r="AS17" i="3"/>
  <c r="AS31" i="3" l="1"/>
  <c r="AS32" i="3"/>
  <c r="AS33" i="3"/>
  <c r="AS18" i="3"/>
  <c r="AS29" i="3" s="1"/>
  <c r="L175" i="3" s="1"/>
  <c r="AS70" i="3"/>
  <c r="AT70" i="3"/>
  <c r="AR70" i="3"/>
  <c r="AC91" i="9"/>
  <c r="AD91" i="9" s="1"/>
  <c r="Y20" i="9" s="1"/>
  <c r="AC90" i="9"/>
  <c r="AD90" i="9" s="1"/>
  <c r="X20" i="9" s="1"/>
  <c r="AC85" i="9"/>
  <c r="AD85" i="9" s="1"/>
  <c r="S20" i="9" s="1"/>
  <c r="AC80" i="9"/>
  <c r="AD80" i="9" s="1"/>
  <c r="N20" i="9" s="1"/>
  <c r="AC94" i="9"/>
  <c r="AD94" i="9" s="1"/>
  <c r="AB20" i="9" s="1"/>
  <c r="AC89" i="9"/>
  <c r="AD89" i="9" s="1"/>
  <c r="W20" i="9" s="1"/>
  <c r="AC88" i="9"/>
  <c r="AD88" i="9" s="1"/>
  <c r="V20" i="9" s="1"/>
  <c r="AC79" i="9"/>
  <c r="AD79" i="9" s="1"/>
  <c r="M20" i="9" s="1"/>
  <c r="AC86" i="9"/>
  <c r="AD86" i="9" s="1"/>
  <c r="T20" i="9" s="1"/>
  <c r="AC81" i="9"/>
  <c r="AD81" i="9" s="1"/>
  <c r="O20" i="9" s="1"/>
  <c r="AC83" i="9"/>
  <c r="AD83" i="9" s="1"/>
  <c r="Q20" i="9" s="1"/>
  <c r="AC92" i="9"/>
  <c r="AD92" i="9" s="1"/>
  <c r="Z20" i="9" s="1"/>
  <c r="AC93" i="9"/>
  <c r="AD93" i="9" s="1"/>
  <c r="AA20" i="9" s="1"/>
  <c r="AC95" i="9"/>
  <c r="AD95" i="9" s="1"/>
  <c r="AC20" i="9" s="1"/>
  <c r="AC78" i="9"/>
  <c r="AD78" i="9" s="1"/>
  <c r="L20" i="9" s="1"/>
  <c r="AC77" i="9"/>
  <c r="AD77" i="9" s="1"/>
  <c r="K20" i="9" s="1"/>
  <c r="AC87" i="9"/>
  <c r="AD87" i="9" s="1"/>
  <c r="U20" i="9" s="1"/>
  <c r="AC84" i="9"/>
  <c r="AD84" i="9" s="1"/>
  <c r="R20" i="9" s="1"/>
  <c r="AT17" i="3"/>
  <c r="AT31" i="3" l="1"/>
  <c r="AT32" i="3"/>
  <c r="AT33" i="3"/>
  <c r="AT18" i="3"/>
  <c r="AT29" i="3" s="1"/>
  <c r="L176" i="3" s="1"/>
  <c r="AT71" i="3"/>
  <c r="AS71" i="3"/>
  <c r="AU71" i="3"/>
  <c r="AE77" i="9" a="1"/>
  <c r="AE81" i="9" s="1"/>
  <c r="AF81" i="9" s="1"/>
  <c r="O19" i="9" s="1"/>
  <c r="AU17" i="3"/>
  <c r="AU32" i="3" l="1"/>
  <c r="AU33" i="3"/>
  <c r="AU31" i="3"/>
  <c r="AU18" i="3"/>
  <c r="AU29" i="3" s="1"/>
  <c r="L177" i="3" s="1"/>
  <c r="AU72" i="3"/>
  <c r="AV72" i="3"/>
  <c r="AT72" i="3"/>
  <c r="AE79" i="9"/>
  <c r="AF79" i="9" s="1"/>
  <c r="M19" i="9" s="1"/>
  <c r="AE88" i="9"/>
  <c r="AF88" i="9" s="1"/>
  <c r="V19" i="9" s="1"/>
  <c r="AE93" i="9"/>
  <c r="AF93" i="9" s="1"/>
  <c r="AA19" i="9" s="1"/>
  <c r="AE78" i="9"/>
  <c r="AF78" i="9" s="1"/>
  <c r="L19" i="9" s="1"/>
  <c r="AE83" i="9"/>
  <c r="AF83" i="9" s="1"/>
  <c r="Q19" i="9" s="1"/>
  <c r="AE92" i="9"/>
  <c r="AF92" i="9" s="1"/>
  <c r="Z19" i="9" s="1"/>
  <c r="AE82" i="9"/>
  <c r="AF82" i="9" s="1"/>
  <c r="P19" i="9" s="1"/>
  <c r="AE91" i="9"/>
  <c r="AF91" i="9" s="1"/>
  <c r="Y19" i="9" s="1"/>
  <c r="AE85" i="9"/>
  <c r="AF85" i="9" s="1"/>
  <c r="S19" i="9" s="1"/>
  <c r="AE86" i="9"/>
  <c r="AF86" i="9" s="1"/>
  <c r="T19" i="9" s="1"/>
  <c r="B35" i="9" s="1"/>
  <c r="B40" i="9" s="1"/>
  <c r="AE80" i="9"/>
  <c r="AF80" i="9" s="1"/>
  <c r="N19" i="9" s="1"/>
  <c r="AE89" i="9"/>
  <c r="AF89" i="9" s="1"/>
  <c r="W19" i="9" s="1"/>
  <c r="AE94" i="9"/>
  <c r="AF94" i="9" s="1"/>
  <c r="AB19" i="9" s="1"/>
  <c r="AE95" i="9"/>
  <c r="AF95" i="9" s="1"/>
  <c r="AC19" i="9" s="1"/>
  <c r="AE77" i="9"/>
  <c r="AF77" i="9" s="1"/>
  <c r="K19" i="9" s="1"/>
  <c r="AE90" i="9"/>
  <c r="AF90" i="9" s="1"/>
  <c r="X19" i="9" s="1"/>
  <c r="AE87" i="9"/>
  <c r="AF87" i="9" s="1"/>
  <c r="U19" i="9" s="1"/>
  <c r="AE84" i="9"/>
  <c r="AF84" i="9" s="1"/>
  <c r="R19" i="9" s="1"/>
  <c r="AV17" i="3"/>
  <c r="R26" i="9"/>
  <c r="AV31" i="3" l="1"/>
  <c r="AV32" i="3"/>
  <c r="AV33" i="3"/>
  <c r="AV18" i="3"/>
  <c r="AV29" i="3" s="1"/>
  <c r="L178" i="3" s="1"/>
  <c r="AV73" i="3"/>
  <c r="AW73" i="3"/>
  <c r="AU73" i="3"/>
  <c r="C38" i="9"/>
  <c r="D38" i="9" s="1"/>
  <c r="AW17" i="3"/>
  <c r="AW32" i="3" l="1"/>
  <c r="AW33" i="3"/>
  <c r="AW31" i="3"/>
  <c r="AW18" i="3"/>
  <c r="AW29" i="3" s="1"/>
  <c r="L179" i="3" s="1"/>
  <c r="AW74" i="3"/>
  <c r="AX74" i="3"/>
  <c r="AV74" i="3"/>
  <c r="AX17" i="3"/>
  <c r="AX32" i="3" l="1"/>
  <c r="AX33" i="3"/>
  <c r="AX31" i="3"/>
  <c r="AX18" i="3"/>
  <c r="AX29" i="3" s="1"/>
  <c r="L180" i="3" s="1"/>
  <c r="AX75" i="3"/>
  <c r="AW75" i="3"/>
  <c r="AY75" i="3"/>
  <c r="AY17" i="3"/>
  <c r="AY31" i="3" l="1"/>
  <c r="AY32" i="3"/>
  <c r="AY33" i="3"/>
  <c r="AY18" i="3"/>
  <c r="AY29" i="3" s="1"/>
  <c r="L181" i="3" s="1"/>
  <c r="AY76" i="3"/>
  <c r="AZ76" i="3"/>
  <c r="AX76" i="3"/>
  <c r="AZ17" i="3"/>
  <c r="AZ31" i="3" l="1"/>
  <c r="AZ32" i="3"/>
  <c r="AZ77" i="3" s="1"/>
  <c r="AZ33" i="3"/>
  <c r="AZ18" i="3"/>
  <c r="AZ29" i="3" s="1"/>
  <c r="L182" i="3" s="1"/>
  <c r="BA77" i="3"/>
  <c r="AY77" i="3"/>
  <c r="BA17" i="3"/>
  <c r="BA31" i="3" l="1"/>
  <c r="BA32" i="3"/>
  <c r="BA33" i="3"/>
  <c r="BA18" i="3"/>
  <c r="BA29" i="3" s="1"/>
  <c r="L183" i="3" s="1"/>
  <c r="BA78" i="3"/>
  <c r="AZ78" i="3"/>
  <c r="BB78" i="3"/>
  <c r="BB17" i="3"/>
  <c r="BB31" i="3" l="1"/>
  <c r="BB32" i="3"/>
  <c r="BB79" i="3" s="1"/>
  <c r="BB33" i="3"/>
  <c r="BC79" i="3" s="1"/>
  <c r="BB18" i="3"/>
  <c r="BB29" i="3" s="1"/>
  <c r="L184" i="3" s="1"/>
  <c r="BA79" i="3"/>
  <c r="BC17" i="3"/>
  <c r="BC31" i="3" l="1"/>
  <c r="BC32" i="3"/>
  <c r="BC33" i="3"/>
  <c r="BC18" i="3"/>
  <c r="BC29" i="3" s="1"/>
  <c r="L185" i="3" s="1"/>
  <c r="BC80" i="3"/>
  <c r="BB80" i="3"/>
  <c r="BD80" i="3"/>
  <c r="BD17" i="3"/>
  <c r="BD32" i="3" l="1"/>
  <c r="BD33" i="3"/>
  <c r="BD31" i="3"/>
  <c r="BD18" i="3"/>
  <c r="BD29" i="3" s="1"/>
  <c r="L186" i="3" s="1"/>
  <c r="BD81" i="3"/>
  <c r="BE81" i="3"/>
  <c r="BC81" i="3"/>
  <c r="BE17" i="3"/>
  <c r="BE32" i="3" l="1"/>
  <c r="BE33" i="3"/>
  <c r="BE31" i="3"/>
  <c r="BE18" i="3"/>
  <c r="BE29" i="3" s="1"/>
  <c r="L187" i="3" s="1"/>
  <c r="BE82" i="3"/>
  <c r="BF82" i="3"/>
  <c r="BD82" i="3"/>
  <c r="BF17" i="3"/>
  <c r="BF33" i="3" l="1"/>
  <c r="BF31" i="3"/>
  <c r="BF32" i="3"/>
  <c r="BF18" i="3"/>
  <c r="BF29" i="3" s="1"/>
  <c r="L188" i="3" s="1"/>
  <c r="BF83" i="3"/>
  <c r="BE83" i="3"/>
  <c r="BG83" i="3"/>
  <c r="BG17" i="3"/>
  <c r="BG31" i="3" l="1"/>
  <c r="BG32" i="3"/>
  <c r="BG33" i="3"/>
  <c r="BH84" i="3" s="1"/>
  <c r="BG18" i="3"/>
  <c r="BG29" i="3" s="1"/>
  <c r="L189" i="3" s="1"/>
  <c r="BG84" i="3"/>
  <c r="K86" i="3" s="1" a="1"/>
  <c r="BF84" i="3"/>
  <c r="BH17" i="3"/>
  <c r="BH18" i="3" s="1"/>
  <c r="BH29" i="3" l="1"/>
  <c r="M86" i="3"/>
  <c r="Q86" i="3"/>
  <c r="U86" i="3"/>
  <c r="Y86" i="3"/>
  <c r="AC86" i="3"/>
  <c r="AG86" i="3"/>
  <c r="AK86" i="3"/>
  <c r="AO86" i="3"/>
  <c r="AS86" i="3"/>
  <c r="AW86" i="3"/>
  <c r="BA86" i="3"/>
  <c r="BE86" i="3"/>
  <c r="L87" i="3"/>
  <c r="P87" i="3"/>
  <c r="T87" i="3"/>
  <c r="X87" i="3"/>
  <c r="AB87" i="3"/>
  <c r="AF87" i="3"/>
  <c r="AJ87" i="3"/>
  <c r="AN87" i="3"/>
  <c r="AR87" i="3"/>
  <c r="AV87" i="3"/>
  <c r="AZ87" i="3"/>
  <c r="BD87" i="3"/>
  <c r="K88" i="3"/>
  <c r="O88" i="3"/>
  <c r="S88" i="3"/>
  <c r="W88" i="3"/>
  <c r="AA88" i="3"/>
  <c r="AE88" i="3"/>
  <c r="AI88" i="3"/>
  <c r="AM88" i="3"/>
  <c r="AQ88" i="3"/>
  <c r="AU88" i="3"/>
  <c r="AY88" i="3"/>
  <c r="BC88" i="3"/>
  <c r="BG88" i="3"/>
  <c r="N89" i="3"/>
  <c r="R89" i="3"/>
  <c r="V89" i="3"/>
  <c r="Z89" i="3"/>
  <c r="AD89" i="3"/>
  <c r="AH89" i="3"/>
  <c r="AL89" i="3"/>
  <c r="AP89" i="3"/>
  <c r="AT89" i="3"/>
  <c r="AX89" i="3"/>
  <c r="BB89" i="3"/>
  <c r="BF89" i="3"/>
  <c r="M90" i="3"/>
  <c r="Q90" i="3"/>
  <c r="U90" i="3"/>
  <c r="Y90" i="3"/>
  <c r="AC90" i="3"/>
  <c r="AG90" i="3"/>
  <c r="AK90" i="3"/>
  <c r="AO90" i="3"/>
  <c r="AS90" i="3"/>
  <c r="AW90" i="3"/>
  <c r="BA90" i="3"/>
  <c r="BE90" i="3"/>
  <c r="L91" i="3"/>
  <c r="P91" i="3"/>
  <c r="T91" i="3"/>
  <c r="X91" i="3"/>
  <c r="AB91" i="3"/>
  <c r="AF91" i="3"/>
  <c r="AJ91" i="3"/>
  <c r="AN91" i="3"/>
  <c r="AR91" i="3"/>
  <c r="AV91" i="3"/>
  <c r="AZ91" i="3"/>
  <c r="BD91" i="3"/>
  <c r="K92" i="3"/>
  <c r="O92" i="3"/>
  <c r="S92" i="3"/>
  <c r="W92" i="3"/>
  <c r="AA92" i="3"/>
  <c r="AE92" i="3"/>
  <c r="AI92" i="3"/>
  <c r="AM92" i="3"/>
  <c r="AQ92" i="3"/>
  <c r="AU92" i="3"/>
  <c r="AY92" i="3"/>
  <c r="BC92" i="3"/>
  <c r="N86" i="3"/>
  <c r="S86" i="3"/>
  <c r="X86" i="3"/>
  <c r="AD86" i="3"/>
  <c r="AI86" i="3"/>
  <c r="AN86" i="3"/>
  <c r="AT86" i="3"/>
  <c r="AY86" i="3"/>
  <c r="BD86" i="3"/>
  <c r="M87" i="3"/>
  <c r="R87" i="3"/>
  <c r="W87" i="3"/>
  <c r="AC87" i="3"/>
  <c r="AH87" i="3"/>
  <c r="AM87" i="3"/>
  <c r="AS87" i="3"/>
  <c r="AX87" i="3"/>
  <c r="BC87" i="3"/>
  <c r="L88" i="3"/>
  <c r="Q88" i="3"/>
  <c r="V88" i="3"/>
  <c r="AB88" i="3"/>
  <c r="AG88" i="3"/>
  <c r="AL88" i="3"/>
  <c r="AR88" i="3"/>
  <c r="AW88" i="3"/>
  <c r="BB88" i="3"/>
  <c r="K89" i="3"/>
  <c r="P89" i="3"/>
  <c r="U89" i="3"/>
  <c r="AA89" i="3"/>
  <c r="AF89" i="3"/>
  <c r="AK89" i="3"/>
  <c r="AQ89" i="3"/>
  <c r="AV89" i="3"/>
  <c r="BA89" i="3"/>
  <c r="BG89" i="3"/>
  <c r="O90" i="3"/>
  <c r="T90" i="3"/>
  <c r="Z90" i="3"/>
  <c r="AE90" i="3"/>
  <c r="AJ90" i="3"/>
  <c r="AP90" i="3"/>
  <c r="AU90" i="3"/>
  <c r="AZ90" i="3"/>
  <c r="BF90" i="3"/>
  <c r="N91" i="3"/>
  <c r="S91" i="3"/>
  <c r="Y91" i="3"/>
  <c r="AD91" i="3"/>
  <c r="AI91" i="3"/>
  <c r="AO91" i="3"/>
  <c r="AT91" i="3"/>
  <c r="AY91" i="3"/>
  <c r="BE91" i="3"/>
  <c r="M92" i="3"/>
  <c r="R92" i="3"/>
  <c r="X92" i="3"/>
  <c r="AC92" i="3"/>
  <c r="AH92" i="3"/>
  <c r="AN92" i="3"/>
  <c r="AS92" i="3"/>
  <c r="AX92" i="3"/>
  <c r="BD92" i="3"/>
  <c r="K93" i="3"/>
  <c r="O93" i="3"/>
  <c r="S93" i="3"/>
  <c r="W93" i="3"/>
  <c r="AA93" i="3"/>
  <c r="AE93" i="3"/>
  <c r="AI93" i="3"/>
  <c r="AM93" i="3"/>
  <c r="AQ93" i="3"/>
  <c r="AU93" i="3"/>
  <c r="AY93" i="3"/>
  <c r="BC93" i="3"/>
  <c r="BG93" i="3"/>
  <c r="N94" i="3"/>
  <c r="R94" i="3"/>
  <c r="V94" i="3"/>
  <c r="Z94" i="3"/>
  <c r="AD94" i="3"/>
  <c r="AH94" i="3"/>
  <c r="AL94" i="3"/>
  <c r="AP94" i="3"/>
  <c r="AT94" i="3"/>
  <c r="AX94" i="3"/>
  <c r="BB94" i="3"/>
  <c r="BF94" i="3"/>
  <c r="M95" i="3"/>
  <c r="Q95" i="3"/>
  <c r="U95" i="3"/>
  <c r="Y95" i="3"/>
  <c r="AC95" i="3"/>
  <c r="AG95" i="3"/>
  <c r="AK95" i="3"/>
  <c r="AO95" i="3"/>
  <c r="AS95" i="3"/>
  <c r="AW95" i="3"/>
  <c r="BA95" i="3"/>
  <c r="BE95" i="3"/>
  <c r="L96" i="3"/>
  <c r="P96" i="3"/>
  <c r="T96" i="3"/>
  <c r="X96" i="3"/>
  <c r="AB96" i="3"/>
  <c r="AF96" i="3"/>
  <c r="AJ96" i="3"/>
  <c r="AN96" i="3"/>
  <c r="AR96" i="3"/>
  <c r="AV96" i="3"/>
  <c r="AZ96" i="3"/>
  <c r="BD96" i="3"/>
  <c r="K97" i="3"/>
  <c r="O97" i="3"/>
  <c r="S97" i="3"/>
  <c r="W97" i="3"/>
  <c r="AA97" i="3"/>
  <c r="AE97" i="3"/>
  <c r="AI97" i="3"/>
  <c r="AM97" i="3"/>
  <c r="AQ97" i="3"/>
  <c r="AU97" i="3"/>
  <c r="AY97" i="3"/>
  <c r="BC97" i="3"/>
  <c r="BG97" i="3"/>
  <c r="N98" i="3"/>
  <c r="R98" i="3"/>
  <c r="V98" i="3"/>
  <c r="Z98" i="3"/>
  <c r="AD98" i="3"/>
  <c r="AH98" i="3"/>
  <c r="AL98" i="3"/>
  <c r="AP98" i="3"/>
  <c r="AT98" i="3"/>
  <c r="AX98" i="3"/>
  <c r="BB98" i="3"/>
  <c r="BF98" i="3"/>
  <c r="M99" i="3"/>
  <c r="Q99" i="3"/>
  <c r="U99" i="3"/>
  <c r="Y99" i="3"/>
  <c r="AC99" i="3"/>
  <c r="AG99" i="3"/>
  <c r="AK99" i="3"/>
  <c r="AO99" i="3"/>
  <c r="AS99" i="3"/>
  <c r="AW99" i="3"/>
  <c r="BA99" i="3"/>
  <c r="BE99" i="3"/>
  <c r="L100" i="3"/>
  <c r="P100" i="3"/>
  <c r="T100" i="3"/>
  <c r="X100" i="3"/>
  <c r="AB100" i="3"/>
  <c r="AF100" i="3"/>
  <c r="AJ100" i="3"/>
  <c r="AN100" i="3"/>
  <c r="AR100" i="3"/>
  <c r="AV100" i="3"/>
  <c r="AZ100" i="3"/>
  <c r="BD100" i="3"/>
  <c r="K101" i="3"/>
  <c r="O101" i="3"/>
  <c r="S101" i="3"/>
  <c r="W101" i="3"/>
  <c r="AA101" i="3"/>
  <c r="AE101" i="3"/>
  <c r="AI101" i="3"/>
  <c r="AM101" i="3"/>
  <c r="O86" i="3"/>
  <c r="V86" i="3"/>
  <c r="AB86" i="3"/>
  <c r="AJ86" i="3"/>
  <c r="AQ86" i="3"/>
  <c r="AX86" i="3"/>
  <c r="BF86" i="3"/>
  <c r="O87" i="3"/>
  <c r="V87" i="3"/>
  <c r="AD87" i="3"/>
  <c r="AK87" i="3"/>
  <c r="AQ87" i="3"/>
  <c r="AY87" i="3"/>
  <c r="BF87" i="3"/>
  <c r="P88" i="3"/>
  <c r="X88" i="3"/>
  <c r="AD88" i="3"/>
  <c r="AK88" i="3"/>
  <c r="AS88" i="3"/>
  <c r="AZ88" i="3"/>
  <c r="BF88" i="3"/>
  <c r="Q89" i="3"/>
  <c r="X89" i="3"/>
  <c r="AE89" i="3"/>
  <c r="AM89" i="3"/>
  <c r="AS89" i="3"/>
  <c r="AZ89" i="3"/>
  <c r="K90" i="3"/>
  <c r="R90" i="3"/>
  <c r="X90" i="3"/>
  <c r="AF90" i="3"/>
  <c r="AM90" i="3"/>
  <c r="AT90" i="3"/>
  <c r="BB90" i="3"/>
  <c r="K91" i="3"/>
  <c r="R91" i="3"/>
  <c r="Z91" i="3"/>
  <c r="AG91" i="3"/>
  <c r="AM91" i="3"/>
  <c r="AU91" i="3"/>
  <c r="BB91" i="3"/>
  <c r="L92" i="3"/>
  <c r="T92" i="3"/>
  <c r="Z92" i="3"/>
  <c r="AG92" i="3"/>
  <c r="AO92" i="3"/>
  <c r="AV92" i="3"/>
  <c r="BB92" i="3"/>
  <c r="L93" i="3"/>
  <c r="Q93" i="3"/>
  <c r="V93" i="3"/>
  <c r="AB93" i="3"/>
  <c r="AG93" i="3"/>
  <c r="AL93" i="3"/>
  <c r="AR93" i="3"/>
  <c r="AW93" i="3"/>
  <c r="BB93" i="3"/>
  <c r="K94" i="3"/>
  <c r="P94" i="3"/>
  <c r="U94" i="3"/>
  <c r="AA94" i="3"/>
  <c r="AF94" i="3"/>
  <c r="AK94" i="3"/>
  <c r="AQ94" i="3"/>
  <c r="AV94" i="3"/>
  <c r="BA94" i="3"/>
  <c r="BG94" i="3"/>
  <c r="O95" i="3"/>
  <c r="T95" i="3"/>
  <c r="Z95" i="3"/>
  <c r="AE95" i="3"/>
  <c r="AJ95" i="3"/>
  <c r="AP95" i="3"/>
  <c r="AU95" i="3"/>
  <c r="AZ95" i="3"/>
  <c r="BF95" i="3"/>
  <c r="N96" i="3"/>
  <c r="S96" i="3"/>
  <c r="Y96" i="3"/>
  <c r="AD96" i="3"/>
  <c r="AI96" i="3"/>
  <c r="AO96" i="3"/>
  <c r="AT96" i="3"/>
  <c r="AY96" i="3"/>
  <c r="BE96" i="3"/>
  <c r="M97" i="3"/>
  <c r="R97" i="3"/>
  <c r="X97" i="3"/>
  <c r="AC97" i="3"/>
  <c r="AH97" i="3"/>
  <c r="AN97" i="3"/>
  <c r="AS97" i="3"/>
  <c r="AX97" i="3"/>
  <c r="BD97" i="3"/>
  <c r="L98" i="3"/>
  <c r="Q98" i="3"/>
  <c r="W98" i="3"/>
  <c r="AB98" i="3"/>
  <c r="AG98" i="3"/>
  <c r="AM98" i="3"/>
  <c r="AR98" i="3"/>
  <c r="AW98" i="3"/>
  <c r="BC98" i="3"/>
  <c r="K99" i="3"/>
  <c r="P99" i="3"/>
  <c r="V99" i="3"/>
  <c r="AA99" i="3"/>
  <c r="AF99" i="3"/>
  <c r="AL99" i="3"/>
  <c r="AQ99" i="3"/>
  <c r="AV99" i="3"/>
  <c r="BB99" i="3"/>
  <c r="BG99" i="3"/>
  <c r="O100" i="3"/>
  <c r="U100" i="3"/>
  <c r="Z100" i="3"/>
  <c r="AE100" i="3"/>
  <c r="AK100" i="3"/>
  <c r="AP100" i="3"/>
  <c r="AU100" i="3"/>
  <c r="BA100" i="3"/>
  <c r="BF100" i="3"/>
  <c r="N101" i="3"/>
  <c r="T101" i="3"/>
  <c r="Y101" i="3"/>
  <c r="AD101" i="3"/>
  <c r="AJ101" i="3"/>
  <c r="AO101" i="3"/>
  <c r="AS101" i="3"/>
  <c r="AW101" i="3"/>
  <c r="BA101" i="3"/>
  <c r="BE101" i="3"/>
  <c r="L102" i="3"/>
  <c r="P102" i="3"/>
  <c r="T102" i="3"/>
  <c r="X102" i="3"/>
  <c r="AB102" i="3"/>
  <c r="AF102" i="3"/>
  <c r="AJ102" i="3"/>
  <c r="AN102" i="3"/>
  <c r="AR102" i="3"/>
  <c r="AV102" i="3"/>
  <c r="AZ102" i="3"/>
  <c r="BD102" i="3"/>
  <c r="K103" i="3"/>
  <c r="O103" i="3"/>
  <c r="S103" i="3"/>
  <c r="W103" i="3"/>
  <c r="AA103" i="3"/>
  <c r="AE103" i="3"/>
  <c r="AI103" i="3"/>
  <c r="AM103" i="3"/>
  <c r="AQ103" i="3"/>
  <c r="AU103" i="3"/>
  <c r="AY103" i="3"/>
  <c r="BC103" i="3"/>
  <c r="BG103" i="3"/>
  <c r="N104" i="3"/>
  <c r="R104" i="3"/>
  <c r="V104" i="3"/>
  <c r="Z104" i="3"/>
  <c r="AD104" i="3"/>
  <c r="AH104" i="3"/>
  <c r="AL104" i="3"/>
  <c r="AP104" i="3"/>
  <c r="AT104" i="3"/>
  <c r="AX104" i="3"/>
  <c r="BB104" i="3"/>
  <c r="BF104" i="3"/>
  <c r="M105" i="3"/>
  <c r="Q105" i="3"/>
  <c r="U105" i="3"/>
  <c r="Y105" i="3"/>
  <c r="AC105" i="3"/>
  <c r="AG105" i="3"/>
  <c r="AK105" i="3"/>
  <c r="AO105" i="3"/>
  <c r="AS105" i="3"/>
  <c r="AW105" i="3"/>
  <c r="BA105" i="3"/>
  <c r="BE105" i="3"/>
  <c r="L106" i="3"/>
  <c r="P106" i="3"/>
  <c r="T106" i="3"/>
  <c r="X106" i="3"/>
  <c r="AB106" i="3"/>
  <c r="AF106" i="3"/>
  <c r="AJ106" i="3"/>
  <c r="AN106" i="3"/>
  <c r="AR106" i="3"/>
  <c r="AV106" i="3"/>
  <c r="AZ106" i="3"/>
  <c r="BD106" i="3"/>
  <c r="K107" i="3"/>
  <c r="O107" i="3"/>
  <c r="S107" i="3"/>
  <c r="W107" i="3"/>
  <c r="AA107" i="3"/>
  <c r="AE107" i="3"/>
  <c r="AI107" i="3"/>
  <c r="AM107" i="3"/>
  <c r="AQ107" i="3"/>
  <c r="AU107" i="3"/>
  <c r="AY107" i="3"/>
  <c r="BC107" i="3"/>
  <c r="BG107" i="3"/>
  <c r="N108" i="3"/>
  <c r="R108" i="3"/>
  <c r="V108" i="3"/>
  <c r="Z108" i="3"/>
  <c r="AD108" i="3"/>
  <c r="AH108" i="3"/>
  <c r="AL108" i="3"/>
  <c r="AP108" i="3"/>
  <c r="AT108" i="3"/>
  <c r="AX108" i="3"/>
  <c r="BB108" i="3"/>
  <c r="BF108" i="3"/>
  <c r="M109" i="3"/>
  <c r="Q109" i="3"/>
  <c r="U109" i="3"/>
  <c r="Y109" i="3"/>
  <c r="AC109" i="3"/>
  <c r="AG109" i="3"/>
  <c r="AK109" i="3"/>
  <c r="AO109" i="3"/>
  <c r="AS109" i="3"/>
  <c r="AW109" i="3"/>
  <c r="BA109" i="3"/>
  <c r="BE109" i="3"/>
  <c r="L110" i="3"/>
  <c r="P110" i="3"/>
  <c r="T110" i="3"/>
  <c r="X110" i="3"/>
  <c r="AB110" i="3"/>
  <c r="AF110" i="3"/>
  <c r="AJ110" i="3"/>
  <c r="AN110" i="3"/>
  <c r="AR110" i="3"/>
  <c r="AV110" i="3"/>
  <c r="AZ110" i="3"/>
  <c r="BD110" i="3"/>
  <c r="K111" i="3"/>
  <c r="O111" i="3"/>
  <c r="S111" i="3"/>
  <c r="W111" i="3"/>
  <c r="AA111" i="3"/>
  <c r="AE111" i="3"/>
  <c r="AI111" i="3"/>
  <c r="AM111" i="3"/>
  <c r="AQ111" i="3"/>
  <c r="AU111" i="3"/>
  <c r="AY111" i="3"/>
  <c r="BC111" i="3"/>
  <c r="BG111" i="3"/>
  <c r="N112" i="3"/>
  <c r="R112" i="3"/>
  <c r="V112" i="3"/>
  <c r="Z112" i="3"/>
  <c r="AD112" i="3"/>
  <c r="AH112" i="3"/>
  <c r="AL112" i="3"/>
  <c r="AP112" i="3"/>
  <c r="AT112" i="3"/>
  <c r="AX112" i="3"/>
  <c r="BB112" i="3"/>
  <c r="BF112" i="3"/>
  <c r="M113" i="3"/>
  <c r="Q113" i="3"/>
  <c r="U113" i="3"/>
  <c r="Y113" i="3"/>
  <c r="AC113" i="3"/>
  <c r="AG113" i="3"/>
  <c r="AK113" i="3"/>
  <c r="AO113" i="3"/>
  <c r="AS113" i="3"/>
  <c r="AW113" i="3"/>
  <c r="BA113" i="3"/>
  <c r="BE113" i="3"/>
  <c r="L114" i="3"/>
  <c r="P114" i="3"/>
  <c r="T114" i="3"/>
  <c r="X114" i="3"/>
  <c r="AB114" i="3"/>
  <c r="AF114" i="3"/>
  <c r="AJ114" i="3"/>
  <c r="AN114" i="3"/>
  <c r="AR114" i="3"/>
  <c r="AV114" i="3"/>
  <c r="AZ114" i="3"/>
  <c r="BD114" i="3"/>
  <c r="K115" i="3"/>
  <c r="O115" i="3"/>
  <c r="S115" i="3"/>
  <c r="W115" i="3"/>
  <c r="AA115" i="3"/>
  <c r="AE115" i="3"/>
  <c r="AI115" i="3"/>
  <c r="AM115" i="3"/>
  <c r="AQ115" i="3"/>
  <c r="AU115" i="3"/>
  <c r="AY115" i="3"/>
  <c r="BC115" i="3"/>
  <c r="BG115" i="3"/>
  <c r="N116" i="3"/>
  <c r="R116" i="3"/>
  <c r="V116" i="3"/>
  <c r="Z116" i="3"/>
  <c r="AD116" i="3"/>
  <c r="AH116" i="3"/>
  <c r="AL116" i="3"/>
  <c r="AP116" i="3"/>
  <c r="AT116" i="3"/>
  <c r="AX116" i="3"/>
  <c r="BB116" i="3"/>
  <c r="BF116" i="3"/>
  <c r="M117" i="3"/>
  <c r="Q117" i="3"/>
  <c r="U117" i="3"/>
  <c r="Y117" i="3"/>
  <c r="AC117" i="3"/>
  <c r="AG117" i="3"/>
  <c r="AK117" i="3"/>
  <c r="AO117" i="3"/>
  <c r="AS117" i="3"/>
  <c r="AW117" i="3"/>
  <c r="BA117" i="3"/>
  <c r="BE117" i="3"/>
  <c r="L118" i="3"/>
  <c r="P118" i="3"/>
  <c r="T118" i="3"/>
  <c r="X118" i="3"/>
  <c r="AB118" i="3"/>
  <c r="AF118" i="3"/>
  <c r="AJ118" i="3"/>
  <c r="AN118" i="3"/>
  <c r="AR118" i="3"/>
  <c r="AV118" i="3"/>
  <c r="AZ118" i="3"/>
  <c r="BD118" i="3"/>
  <c r="K119" i="3"/>
  <c r="K86" i="3"/>
  <c r="T86" i="3"/>
  <c r="AE86" i="3"/>
  <c r="AM86" i="3"/>
  <c r="AV86" i="3"/>
  <c r="BG86" i="3"/>
  <c r="S87" i="3"/>
  <c r="AA87" i="3"/>
  <c r="AL87" i="3"/>
  <c r="AU87" i="3"/>
  <c r="BE87" i="3"/>
  <c r="R88" i="3"/>
  <c r="Z88" i="3"/>
  <c r="AJ88" i="3"/>
  <c r="AT88" i="3"/>
  <c r="L86" i="3"/>
  <c r="W86" i="3"/>
  <c r="AF86" i="3"/>
  <c r="AP86" i="3"/>
  <c r="AZ86" i="3"/>
  <c r="K87" i="3"/>
  <c r="U87" i="3"/>
  <c r="AE87" i="3"/>
  <c r="AO87" i="3"/>
  <c r="AW87" i="3"/>
  <c r="BG87" i="3"/>
  <c r="T88" i="3"/>
  <c r="AC88" i="3"/>
  <c r="AN88" i="3"/>
  <c r="AV88" i="3"/>
  <c r="BE88" i="3"/>
  <c r="S89" i="3"/>
  <c r="AB89" i="3"/>
  <c r="AJ89" i="3"/>
  <c r="AU89" i="3"/>
  <c r="BD89" i="3"/>
  <c r="P90" i="3"/>
  <c r="AA90" i="3"/>
  <c r="AI90" i="3"/>
  <c r="AR90" i="3"/>
  <c r="BC90" i="3"/>
  <c r="O91" i="3"/>
  <c r="W91" i="3"/>
  <c r="AH91" i="3"/>
  <c r="AQ91" i="3"/>
  <c r="BA91" i="3"/>
  <c r="N92" i="3"/>
  <c r="V92" i="3"/>
  <c r="AF92" i="3"/>
  <c r="AP92" i="3"/>
  <c r="AZ92" i="3"/>
  <c r="BG92" i="3"/>
  <c r="R93" i="3"/>
  <c r="Y93" i="3"/>
  <c r="AF93" i="3"/>
  <c r="AN93" i="3"/>
  <c r="AT93" i="3"/>
  <c r="BA93" i="3"/>
  <c r="L94" i="3"/>
  <c r="S94" i="3"/>
  <c r="Y94" i="3"/>
  <c r="AG94" i="3"/>
  <c r="AN94" i="3"/>
  <c r="AU94" i="3"/>
  <c r="BC94" i="3"/>
  <c r="L95" i="3"/>
  <c r="S95" i="3"/>
  <c r="AA95" i="3"/>
  <c r="AH95" i="3"/>
  <c r="AN95" i="3"/>
  <c r="AV95" i="3"/>
  <c r="BC95" i="3"/>
  <c r="M96" i="3"/>
  <c r="U96" i="3"/>
  <c r="AA96" i="3"/>
  <c r="AH96" i="3"/>
  <c r="AP96" i="3"/>
  <c r="AW96" i="3"/>
  <c r="BC96" i="3"/>
  <c r="N97" i="3"/>
  <c r="U97" i="3"/>
  <c r="AB97" i="3"/>
  <c r="AJ97" i="3"/>
  <c r="AP97" i="3"/>
  <c r="AW97" i="3"/>
  <c r="BE97" i="3"/>
  <c r="O98" i="3"/>
  <c r="U98" i="3"/>
  <c r="AC98" i="3"/>
  <c r="AJ98" i="3"/>
  <c r="AQ98" i="3"/>
  <c r="AY98" i="3"/>
  <c r="BE98" i="3"/>
  <c r="O99" i="3"/>
  <c r="W99" i="3"/>
  <c r="AD99" i="3"/>
  <c r="AJ99" i="3"/>
  <c r="AR99" i="3"/>
  <c r="AY99" i="3"/>
  <c r="BF99" i="3"/>
  <c r="P86" i="3"/>
  <c r="Z86" i="3"/>
  <c r="AH86" i="3"/>
  <c r="AR86" i="3"/>
  <c r="BB86" i="3"/>
  <c r="N87" i="3"/>
  <c r="Y87" i="3"/>
  <c r="AG87" i="3"/>
  <c r="AP87" i="3"/>
  <c r="BA87" i="3"/>
  <c r="M88" i="3"/>
  <c r="U88" i="3"/>
  <c r="AF88" i="3"/>
  <c r="AO88" i="3"/>
  <c r="AX88" i="3"/>
  <c r="L89" i="3"/>
  <c r="T89" i="3"/>
  <c r="AC89" i="3"/>
  <c r="AN89" i="3"/>
  <c r="AW89" i="3"/>
  <c r="BE89" i="3"/>
  <c r="S90" i="3"/>
  <c r="AB90" i="3"/>
  <c r="AL90" i="3"/>
  <c r="AV90" i="3"/>
  <c r="BD90" i="3"/>
  <c r="Q91" i="3"/>
  <c r="AA91" i="3"/>
  <c r="AK91" i="3"/>
  <c r="AS91" i="3"/>
  <c r="BC91" i="3"/>
  <c r="P92" i="3"/>
  <c r="Y92" i="3"/>
  <c r="AJ92" i="3"/>
  <c r="AR92" i="3"/>
  <c r="BA92" i="3"/>
  <c r="M93" i="3"/>
  <c r="T93" i="3"/>
  <c r="Z93" i="3"/>
  <c r="AH93" i="3"/>
  <c r="AO93" i="3"/>
  <c r="AV93" i="3"/>
  <c r="BD93" i="3"/>
  <c r="M94" i="3"/>
  <c r="T94" i="3"/>
  <c r="AB94" i="3"/>
  <c r="AI94" i="3"/>
  <c r="AO94" i="3"/>
  <c r="AW94" i="3"/>
  <c r="BD94" i="3"/>
  <c r="N95" i="3"/>
  <c r="V95" i="3"/>
  <c r="AB95" i="3"/>
  <c r="AI95" i="3"/>
  <c r="AQ95" i="3"/>
  <c r="AX95" i="3"/>
  <c r="BD95" i="3"/>
  <c r="O96" i="3"/>
  <c r="V96" i="3"/>
  <c r="AC96" i="3"/>
  <c r="AK96" i="3"/>
  <c r="AQ96" i="3"/>
  <c r="AX96" i="3"/>
  <c r="BF96" i="3"/>
  <c r="P97" i="3"/>
  <c r="V97" i="3"/>
  <c r="AD97" i="3"/>
  <c r="AK97" i="3"/>
  <c r="AR97" i="3"/>
  <c r="AZ97" i="3"/>
  <c r="BF97" i="3"/>
  <c r="P98" i="3"/>
  <c r="X98" i="3"/>
  <c r="AE98" i="3"/>
  <c r="AK98" i="3"/>
  <c r="AS98" i="3"/>
  <c r="AZ98" i="3"/>
  <c r="BG98" i="3"/>
  <c r="R99" i="3"/>
  <c r="X99" i="3"/>
  <c r="AE99" i="3"/>
  <c r="AM99" i="3"/>
  <c r="AT99" i="3"/>
  <c r="AZ99" i="3"/>
  <c r="K100" i="3"/>
  <c r="R100" i="3"/>
  <c r="Y100" i="3"/>
  <c r="AG100" i="3"/>
  <c r="AM100" i="3"/>
  <c r="AT100" i="3"/>
  <c r="BB100" i="3"/>
  <c r="L101" i="3"/>
  <c r="R101" i="3"/>
  <c r="Z101" i="3"/>
  <c r="AG101" i="3"/>
  <c r="AN101" i="3"/>
  <c r="AT101" i="3"/>
  <c r="AY101" i="3"/>
  <c r="BD101" i="3"/>
  <c r="M102" i="3"/>
  <c r="R102" i="3"/>
  <c r="W102" i="3"/>
  <c r="AC102" i="3"/>
  <c r="AH102" i="3"/>
  <c r="AM102" i="3"/>
  <c r="AS102" i="3"/>
  <c r="AX102" i="3"/>
  <c r="BC102" i="3"/>
  <c r="L103" i="3"/>
  <c r="Q103" i="3"/>
  <c r="V103" i="3"/>
  <c r="AB103" i="3"/>
  <c r="AG103" i="3"/>
  <c r="AL103" i="3"/>
  <c r="AR103" i="3"/>
  <c r="AW103" i="3"/>
  <c r="BB103" i="3"/>
  <c r="K104" i="3"/>
  <c r="P104" i="3"/>
  <c r="U104" i="3"/>
  <c r="AA104" i="3"/>
  <c r="AF104" i="3"/>
  <c r="AK104" i="3"/>
  <c r="AQ104" i="3"/>
  <c r="AV104" i="3"/>
  <c r="BA104" i="3"/>
  <c r="BG104" i="3"/>
  <c r="O105" i="3"/>
  <c r="T105" i="3"/>
  <c r="Z105" i="3"/>
  <c r="AE105" i="3"/>
  <c r="AJ105" i="3"/>
  <c r="AP105" i="3"/>
  <c r="AU105" i="3"/>
  <c r="AZ105" i="3"/>
  <c r="BF105" i="3"/>
  <c r="N106" i="3"/>
  <c r="S106" i="3"/>
  <c r="Y106" i="3"/>
  <c r="AD106" i="3"/>
  <c r="AI106" i="3"/>
  <c r="AO106" i="3"/>
  <c r="AT106" i="3"/>
  <c r="AY106" i="3"/>
  <c r="BE106" i="3"/>
  <c r="M107" i="3"/>
  <c r="R107" i="3"/>
  <c r="X107" i="3"/>
  <c r="AC107" i="3"/>
  <c r="AH107" i="3"/>
  <c r="AN107" i="3"/>
  <c r="AS107" i="3"/>
  <c r="AX107" i="3"/>
  <c r="BD107" i="3"/>
  <c r="L108" i="3"/>
  <c r="Q108" i="3"/>
  <c r="W108" i="3"/>
  <c r="AB108" i="3"/>
  <c r="AG108" i="3"/>
  <c r="AM108" i="3"/>
  <c r="AR108" i="3"/>
  <c r="AW108" i="3"/>
  <c r="BC108" i="3"/>
  <c r="K109" i="3"/>
  <c r="P109" i="3"/>
  <c r="V109" i="3"/>
  <c r="AA109" i="3"/>
  <c r="AF109" i="3"/>
  <c r="AL109" i="3"/>
  <c r="AQ109" i="3"/>
  <c r="AV109" i="3"/>
  <c r="BB109" i="3"/>
  <c r="BG109" i="3"/>
  <c r="O110" i="3"/>
  <c r="U110" i="3"/>
  <c r="Z110" i="3"/>
  <c r="AE110" i="3"/>
  <c r="AK110" i="3"/>
  <c r="AP110" i="3"/>
  <c r="AU110" i="3"/>
  <c r="BA110" i="3"/>
  <c r="BF110" i="3"/>
  <c r="N111" i="3"/>
  <c r="T111" i="3"/>
  <c r="Y111" i="3"/>
  <c r="AD111" i="3"/>
  <c r="AJ111" i="3"/>
  <c r="AO111" i="3"/>
  <c r="AT111" i="3"/>
  <c r="AZ111" i="3"/>
  <c r="BE111" i="3"/>
  <c r="M112" i="3"/>
  <c r="S112" i="3"/>
  <c r="X112" i="3"/>
  <c r="AC112" i="3"/>
  <c r="AI112" i="3"/>
  <c r="AN112" i="3"/>
  <c r="AS112" i="3"/>
  <c r="AY112" i="3"/>
  <c r="BD112" i="3"/>
  <c r="L113" i="3"/>
  <c r="R113" i="3"/>
  <c r="W113" i="3"/>
  <c r="AB113" i="3"/>
  <c r="AH113" i="3"/>
  <c r="AM113" i="3"/>
  <c r="AR113" i="3"/>
  <c r="AX113" i="3"/>
  <c r="BC113" i="3"/>
  <c r="K114" i="3"/>
  <c r="Q114" i="3"/>
  <c r="V114" i="3"/>
  <c r="AA114" i="3"/>
  <c r="AG114" i="3"/>
  <c r="AL114" i="3"/>
  <c r="AQ114" i="3"/>
  <c r="AW114" i="3"/>
  <c r="BB114" i="3"/>
  <c r="BG114" i="3"/>
  <c r="P115" i="3"/>
  <c r="U115" i="3"/>
  <c r="Z115" i="3"/>
  <c r="AF115" i="3"/>
  <c r="AK115" i="3"/>
  <c r="AP115" i="3"/>
  <c r="AV115" i="3"/>
  <c r="BA115" i="3"/>
  <c r="BF115" i="3"/>
  <c r="O116" i="3"/>
  <c r="T116" i="3"/>
  <c r="Y116" i="3"/>
  <c r="AE116" i="3"/>
  <c r="AJ116" i="3"/>
  <c r="AO116" i="3"/>
  <c r="AU116" i="3"/>
  <c r="AZ116" i="3"/>
  <c r="BE116" i="3"/>
  <c r="N117" i="3"/>
  <c r="S117" i="3"/>
  <c r="X117" i="3"/>
  <c r="AD117" i="3"/>
  <c r="AI117" i="3"/>
  <c r="AN117" i="3"/>
  <c r="AT117" i="3"/>
  <c r="AY117" i="3"/>
  <c r="BD117" i="3"/>
  <c r="M118" i="3"/>
  <c r="R118" i="3"/>
  <c r="W118" i="3"/>
  <c r="AC118" i="3"/>
  <c r="AH118" i="3"/>
  <c r="AM118" i="3"/>
  <c r="AS118" i="3"/>
  <c r="AX118" i="3"/>
  <c r="BC118" i="3"/>
  <c r="L119" i="3"/>
  <c r="P119" i="3"/>
  <c r="T119" i="3"/>
  <c r="X119" i="3"/>
  <c r="AB119" i="3"/>
  <c r="AF119" i="3"/>
  <c r="AJ119" i="3"/>
  <c r="AN119" i="3"/>
  <c r="AR119" i="3"/>
  <c r="AV119" i="3"/>
  <c r="AZ119" i="3"/>
  <c r="BD119" i="3"/>
  <c r="K120" i="3"/>
  <c r="O120" i="3"/>
  <c r="S120" i="3"/>
  <c r="W120" i="3"/>
  <c r="AA120" i="3"/>
  <c r="AE120" i="3"/>
  <c r="AI120" i="3"/>
  <c r="AM120" i="3"/>
  <c r="AQ120" i="3"/>
  <c r="AU120" i="3"/>
  <c r="AY120" i="3"/>
  <c r="BC120" i="3"/>
  <c r="BG120" i="3"/>
  <c r="N121" i="3"/>
  <c r="R121" i="3"/>
  <c r="V121" i="3"/>
  <c r="Z121" i="3"/>
  <c r="AD121" i="3"/>
  <c r="AH121" i="3"/>
  <c r="AL121" i="3"/>
  <c r="AP121" i="3"/>
  <c r="AT121" i="3"/>
  <c r="AX121" i="3"/>
  <c r="BB121" i="3"/>
  <c r="BF121" i="3"/>
  <c r="M122" i="3"/>
  <c r="Q122" i="3"/>
  <c r="U122" i="3"/>
  <c r="Y122" i="3"/>
  <c r="AC122" i="3"/>
  <c r="AG122" i="3"/>
  <c r="AK122" i="3"/>
  <c r="AO122" i="3"/>
  <c r="AS122" i="3"/>
  <c r="AW122" i="3"/>
  <c r="BA122" i="3"/>
  <c r="BE122" i="3"/>
  <c r="L123" i="3"/>
  <c r="P123" i="3"/>
  <c r="T123" i="3"/>
  <c r="X123" i="3"/>
  <c r="AB123" i="3"/>
  <c r="AF123" i="3"/>
  <c r="AJ123" i="3"/>
  <c r="AN123" i="3"/>
  <c r="AR123" i="3"/>
  <c r="AV123" i="3"/>
  <c r="AZ123" i="3"/>
  <c r="BD123" i="3"/>
  <c r="K124" i="3"/>
  <c r="O124" i="3"/>
  <c r="S124" i="3"/>
  <c r="W124" i="3"/>
  <c r="AA124" i="3"/>
  <c r="AE124" i="3"/>
  <c r="AI124" i="3"/>
  <c r="AM124" i="3"/>
  <c r="AQ124" i="3"/>
  <c r="AU124" i="3"/>
  <c r="AY124" i="3"/>
  <c r="BC124" i="3"/>
  <c r="R86" i="3"/>
  <c r="BC86" i="3"/>
  <c r="AT87" i="3"/>
  <c r="AH88" i="3"/>
  <c r="M89" i="3"/>
  <c r="AG89" i="3"/>
  <c r="AY89" i="3"/>
  <c r="V90" i="3"/>
  <c r="AN90" i="3"/>
  <c r="BG90" i="3"/>
  <c r="AC91" i="3"/>
  <c r="AW91" i="3"/>
  <c r="Q92" i="3"/>
  <c r="AK92" i="3"/>
  <c r="BE92" i="3"/>
  <c r="U93" i="3"/>
  <c r="AJ93" i="3"/>
  <c r="AX93" i="3"/>
  <c r="O94" i="3"/>
  <c r="AC94" i="3"/>
  <c r="AR94" i="3"/>
  <c r="BE94" i="3"/>
  <c r="W95" i="3"/>
  <c r="AL95" i="3"/>
  <c r="AY95" i="3"/>
  <c r="Q96" i="3"/>
  <c r="AE96" i="3"/>
  <c r="AS96" i="3"/>
  <c r="BG96" i="3"/>
  <c r="Y97" i="3"/>
  <c r="AL97" i="3"/>
  <c r="BA97" i="3"/>
  <c r="S98" i="3"/>
  <c r="AF98" i="3"/>
  <c r="AU98" i="3"/>
  <c r="L99" i="3"/>
  <c r="Z99" i="3"/>
  <c r="AN99" i="3"/>
  <c r="BC99" i="3"/>
  <c r="Q100" i="3"/>
  <c r="AA100" i="3"/>
  <c r="AI100" i="3"/>
  <c r="AS100" i="3"/>
  <c r="BC100" i="3"/>
  <c r="P101" i="3"/>
  <c r="X101" i="3"/>
  <c r="AH101" i="3"/>
  <c r="AQ101" i="3"/>
  <c r="AX101" i="3"/>
  <c r="BF101" i="3"/>
  <c r="O102" i="3"/>
  <c r="V102" i="3"/>
  <c r="AD102" i="3"/>
  <c r="AK102" i="3"/>
  <c r="AQ102" i="3"/>
  <c r="AY102" i="3"/>
  <c r="BF102" i="3"/>
  <c r="P103" i="3"/>
  <c r="X103" i="3"/>
  <c r="AD103" i="3"/>
  <c r="AK103" i="3"/>
  <c r="AS103" i="3"/>
  <c r="AZ103" i="3"/>
  <c r="BF103" i="3"/>
  <c r="Q104" i="3"/>
  <c r="X104" i="3"/>
  <c r="AE104" i="3"/>
  <c r="AM104" i="3"/>
  <c r="AS104" i="3"/>
  <c r="AZ104" i="3"/>
  <c r="K105" i="3"/>
  <c r="R105" i="3"/>
  <c r="X105" i="3"/>
  <c r="AF105" i="3"/>
  <c r="AM105" i="3"/>
  <c r="AT105" i="3"/>
  <c r="BB105" i="3"/>
  <c r="K106" i="3"/>
  <c r="R106" i="3"/>
  <c r="Z106" i="3"/>
  <c r="AG106" i="3"/>
  <c r="AM106" i="3"/>
  <c r="AU106" i="3"/>
  <c r="BB106" i="3"/>
  <c r="L107" i="3"/>
  <c r="AA86" i="3"/>
  <c r="Q87" i="3"/>
  <c r="BB87" i="3"/>
  <c r="AP88" i="3"/>
  <c r="O89" i="3"/>
  <c r="AI89" i="3"/>
  <c r="BC89" i="3"/>
  <c r="W90" i="3"/>
  <c r="AQ90" i="3"/>
  <c r="M91" i="3"/>
  <c r="AE91" i="3"/>
  <c r="AX91" i="3"/>
  <c r="U92" i="3"/>
  <c r="AL92" i="3"/>
  <c r="BF92" i="3"/>
  <c r="X93" i="3"/>
  <c r="AK93" i="3"/>
  <c r="AZ93" i="3"/>
  <c r="Q94" i="3"/>
  <c r="AE94" i="3"/>
  <c r="AS94" i="3"/>
  <c r="K95" i="3"/>
  <c r="X95" i="3"/>
  <c r="AM95" i="3"/>
  <c r="BB95" i="3"/>
  <c r="R96" i="3"/>
  <c r="AG96" i="3"/>
  <c r="AU96" i="3"/>
  <c r="L97" i="3"/>
  <c r="Z97" i="3"/>
  <c r="AO97" i="3"/>
  <c r="BB97" i="3"/>
  <c r="T98" i="3"/>
  <c r="AI98" i="3"/>
  <c r="AV98" i="3"/>
  <c r="N99" i="3"/>
  <c r="AB99" i="3"/>
  <c r="AP99" i="3"/>
  <c r="BD99" i="3"/>
  <c r="S100" i="3"/>
  <c r="AC100" i="3"/>
  <c r="AL100" i="3"/>
  <c r="AW100" i="3"/>
  <c r="BE100" i="3"/>
  <c r="Q101" i="3"/>
  <c r="AB101" i="3"/>
  <c r="AK101" i="3"/>
  <c r="AR101" i="3"/>
  <c r="AZ101" i="3"/>
  <c r="BG101" i="3"/>
  <c r="Q102" i="3"/>
  <c r="Y102" i="3"/>
  <c r="AE102" i="3"/>
  <c r="AL102" i="3"/>
  <c r="AT102" i="3"/>
  <c r="BA102" i="3"/>
  <c r="BG102" i="3"/>
  <c r="R103" i="3"/>
  <c r="Y103" i="3"/>
  <c r="AF103" i="3"/>
  <c r="AN103" i="3"/>
  <c r="AT103" i="3"/>
  <c r="AL86" i="3"/>
  <c r="Z87" i="3"/>
  <c r="N88" i="3"/>
  <c r="BA88" i="3"/>
  <c r="W89" i="3"/>
  <c r="AO89" i="3"/>
  <c r="L90" i="3"/>
  <c r="AD90" i="3"/>
  <c r="AX90" i="3"/>
  <c r="U91" i="3"/>
  <c r="AL91" i="3"/>
  <c r="BF91" i="3"/>
  <c r="AB92" i="3"/>
  <c r="AT92" i="3"/>
  <c r="N93" i="3"/>
  <c r="AC93" i="3"/>
  <c r="AP93" i="3"/>
  <c r="BE93" i="3"/>
  <c r="W94" i="3"/>
  <c r="AJ94" i="3"/>
  <c r="AY94" i="3"/>
  <c r="P95" i="3"/>
  <c r="AD95" i="3"/>
  <c r="AR95" i="3"/>
  <c r="BG95" i="3"/>
  <c r="W96" i="3"/>
  <c r="AL96" i="3"/>
  <c r="BA96" i="3"/>
  <c r="Q97" i="3"/>
  <c r="AF97" i="3"/>
  <c r="AT97" i="3"/>
  <c r="K98" i="3"/>
  <c r="Y98" i="3"/>
  <c r="AN98" i="3"/>
  <c r="BA98" i="3"/>
  <c r="S99" i="3"/>
  <c r="AH99" i="3"/>
  <c r="AU99" i="3"/>
  <c r="M100" i="3"/>
  <c r="V100" i="3"/>
  <c r="AD100" i="3"/>
  <c r="AO100" i="3"/>
  <c r="AX100" i="3"/>
  <c r="BG100" i="3"/>
  <c r="U101" i="3"/>
  <c r="AC101" i="3"/>
  <c r="AL101" i="3"/>
  <c r="AU101" i="3"/>
  <c r="BB101" i="3"/>
  <c r="K102" i="3"/>
  <c r="S102" i="3"/>
  <c r="Z102" i="3"/>
  <c r="AG102" i="3"/>
  <c r="AO102" i="3"/>
  <c r="AU102" i="3"/>
  <c r="BB102" i="3"/>
  <c r="M103" i="3"/>
  <c r="T103" i="3"/>
  <c r="Z103" i="3"/>
  <c r="AH103" i="3"/>
  <c r="AO103" i="3"/>
  <c r="AV103" i="3"/>
  <c r="BD103" i="3"/>
  <c r="M104" i="3"/>
  <c r="T104" i="3"/>
  <c r="AB104" i="3"/>
  <c r="AI104" i="3"/>
  <c r="AO104" i="3"/>
  <c r="AW104" i="3"/>
  <c r="BD104" i="3"/>
  <c r="N105" i="3"/>
  <c r="V105" i="3"/>
  <c r="AB105" i="3"/>
  <c r="AI105" i="3"/>
  <c r="AQ105" i="3"/>
  <c r="AX105" i="3"/>
  <c r="BD105" i="3"/>
  <c r="O106" i="3"/>
  <c r="V106" i="3"/>
  <c r="AC106" i="3"/>
  <c r="AK106" i="3"/>
  <c r="AQ106" i="3"/>
  <c r="AX106" i="3"/>
  <c r="BF106" i="3"/>
  <c r="P107" i="3"/>
  <c r="V107" i="3"/>
  <c r="AD107" i="3"/>
  <c r="AK107" i="3"/>
  <c r="AR107" i="3"/>
  <c r="AZ107" i="3"/>
  <c r="BF107" i="3"/>
  <c r="P108" i="3"/>
  <c r="X108" i="3"/>
  <c r="AE108" i="3"/>
  <c r="AK108" i="3"/>
  <c r="AS108" i="3"/>
  <c r="AZ108" i="3"/>
  <c r="BG108" i="3"/>
  <c r="R109" i="3"/>
  <c r="X109" i="3"/>
  <c r="AE109" i="3"/>
  <c r="AM109" i="3"/>
  <c r="AT109" i="3"/>
  <c r="AZ109" i="3"/>
  <c r="K110" i="3"/>
  <c r="R110" i="3"/>
  <c r="Y110" i="3"/>
  <c r="AG110" i="3"/>
  <c r="AM110" i="3"/>
  <c r="AT110" i="3"/>
  <c r="BB110" i="3"/>
  <c r="L111" i="3"/>
  <c r="R111" i="3"/>
  <c r="Z111" i="3"/>
  <c r="AG111" i="3"/>
  <c r="AN111" i="3"/>
  <c r="AV111" i="3"/>
  <c r="BB111" i="3"/>
  <c r="L112" i="3"/>
  <c r="T112" i="3"/>
  <c r="AA112" i="3"/>
  <c r="AG112" i="3"/>
  <c r="AO112" i="3"/>
  <c r="AV112" i="3"/>
  <c r="BC112" i="3"/>
  <c r="N113" i="3"/>
  <c r="T113" i="3"/>
  <c r="AA113" i="3"/>
  <c r="AI113" i="3"/>
  <c r="AP113" i="3"/>
  <c r="AV113" i="3"/>
  <c r="AU86" i="3"/>
  <c r="AI87" i="3"/>
  <c r="Y88" i="3"/>
  <c r="BD88" i="3"/>
  <c r="Y89" i="3"/>
  <c r="AR89" i="3"/>
  <c r="N90" i="3"/>
  <c r="AH90" i="3"/>
  <c r="AY90" i="3"/>
  <c r="V91" i="3"/>
  <c r="AP91" i="3"/>
  <c r="BG91" i="3"/>
  <c r="AD92" i="3"/>
  <c r="AW92" i="3"/>
  <c r="P93" i="3"/>
  <c r="AD93" i="3"/>
  <c r="AS93" i="3"/>
  <c r="BF93" i="3"/>
  <c r="X94" i="3"/>
  <c r="AM94" i="3"/>
  <c r="AZ94" i="3"/>
  <c r="R95" i="3"/>
  <c r="AF95" i="3"/>
  <c r="AT95" i="3"/>
  <c r="K96" i="3"/>
  <c r="Z96" i="3"/>
  <c r="AM96" i="3"/>
  <c r="BB96" i="3"/>
  <c r="T97" i="3"/>
  <c r="AG97" i="3"/>
  <c r="AV97" i="3"/>
  <c r="M98" i="3"/>
  <c r="AA98" i="3"/>
  <c r="AO98" i="3"/>
  <c r="BD98" i="3"/>
  <c r="T99" i="3"/>
  <c r="AI99" i="3"/>
  <c r="AX99" i="3"/>
  <c r="N100" i="3"/>
  <c r="W100" i="3"/>
  <c r="AH100" i="3"/>
  <c r="AQ100" i="3"/>
  <c r="AY100" i="3"/>
  <c r="M101" i="3"/>
  <c r="V101" i="3"/>
  <c r="AF101" i="3"/>
  <c r="AP101" i="3"/>
  <c r="AV101" i="3"/>
  <c r="BC101" i="3"/>
  <c r="N102" i="3"/>
  <c r="U102" i="3"/>
  <c r="AA102" i="3"/>
  <c r="AI102" i="3"/>
  <c r="AP102" i="3"/>
  <c r="AW102" i="3"/>
  <c r="BE102" i="3"/>
  <c r="N103" i="3"/>
  <c r="U103" i="3"/>
  <c r="AC103" i="3"/>
  <c r="AJ103" i="3"/>
  <c r="AP103" i="3"/>
  <c r="AX103" i="3"/>
  <c r="BE103" i="3"/>
  <c r="O104" i="3"/>
  <c r="W104" i="3"/>
  <c r="AC104" i="3"/>
  <c r="AJ104" i="3"/>
  <c r="AR104" i="3"/>
  <c r="AY104" i="3"/>
  <c r="BE104" i="3"/>
  <c r="P105" i="3"/>
  <c r="W105" i="3"/>
  <c r="AD105" i="3"/>
  <c r="AL105" i="3"/>
  <c r="AR105" i="3"/>
  <c r="AY105" i="3"/>
  <c r="BG105" i="3"/>
  <c r="Q106" i="3"/>
  <c r="W106" i="3"/>
  <c r="AE106" i="3"/>
  <c r="AL106" i="3"/>
  <c r="AS106" i="3"/>
  <c r="BA106" i="3"/>
  <c r="BG106" i="3"/>
  <c r="Q107" i="3"/>
  <c r="Y107" i="3"/>
  <c r="AF107" i="3"/>
  <c r="AL107" i="3"/>
  <c r="AT107" i="3"/>
  <c r="BA107" i="3"/>
  <c r="K108" i="3"/>
  <c r="S108" i="3"/>
  <c r="Y108" i="3"/>
  <c r="AF108" i="3"/>
  <c r="AN108" i="3"/>
  <c r="AU108" i="3"/>
  <c r="BA108" i="3"/>
  <c r="L109" i="3"/>
  <c r="S109" i="3"/>
  <c r="Z109" i="3"/>
  <c r="AH109" i="3"/>
  <c r="AN109" i="3"/>
  <c r="AU109" i="3"/>
  <c r="BC109" i="3"/>
  <c r="M110" i="3"/>
  <c r="S110" i="3"/>
  <c r="AA110" i="3"/>
  <c r="AH110" i="3"/>
  <c r="AO110" i="3"/>
  <c r="AW110" i="3"/>
  <c r="BC110" i="3"/>
  <c r="M111" i="3"/>
  <c r="U111" i="3"/>
  <c r="AB111" i="3"/>
  <c r="AH111" i="3"/>
  <c r="AP111" i="3"/>
  <c r="AW111" i="3"/>
  <c r="BD111" i="3"/>
  <c r="O112" i="3"/>
  <c r="U112" i="3"/>
  <c r="AB112" i="3"/>
  <c r="AJ112" i="3"/>
  <c r="AQ112" i="3"/>
  <c r="AW112" i="3"/>
  <c r="BE112" i="3"/>
  <c r="O113" i="3"/>
  <c r="V113" i="3"/>
  <c r="AD113" i="3"/>
  <c r="AJ113" i="3"/>
  <c r="AQ113" i="3"/>
  <c r="AY113" i="3"/>
  <c r="BF113" i="3"/>
  <c r="O114" i="3"/>
  <c r="W114" i="3"/>
  <c r="AD114" i="3"/>
  <c r="AK114" i="3"/>
  <c r="AS114" i="3"/>
  <c r="AY114" i="3"/>
  <c r="BF114" i="3"/>
  <c r="Q115" i="3"/>
  <c r="X115" i="3"/>
  <c r="AD115" i="3"/>
  <c r="AL115" i="3"/>
  <c r="AS115" i="3"/>
  <c r="AZ115" i="3"/>
  <c r="K116" i="3"/>
  <c r="Q116" i="3"/>
  <c r="X116" i="3"/>
  <c r="AF116" i="3"/>
  <c r="AM116" i="3"/>
  <c r="AS116" i="3"/>
  <c r="BA116" i="3"/>
  <c r="K117" i="3"/>
  <c r="R117" i="3"/>
  <c r="Z117" i="3"/>
  <c r="AF117" i="3"/>
  <c r="AM117" i="3"/>
  <c r="AU117" i="3"/>
  <c r="BB117" i="3"/>
  <c r="K118" i="3"/>
  <c r="S118" i="3"/>
  <c r="Z118" i="3"/>
  <c r="AG118" i="3"/>
  <c r="AO118" i="3"/>
  <c r="AU118" i="3"/>
  <c r="BB118" i="3"/>
  <c r="M119" i="3"/>
  <c r="R119" i="3"/>
  <c r="W119" i="3"/>
  <c r="AC119" i="3"/>
  <c r="AH119" i="3"/>
  <c r="AM119" i="3"/>
  <c r="AS119" i="3"/>
  <c r="AX119" i="3"/>
  <c r="BC119" i="3"/>
  <c r="L120" i="3"/>
  <c r="Q120" i="3"/>
  <c r="V120" i="3"/>
  <c r="AB120" i="3"/>
  <c r="AG120" i="3"/>
  <c r="AL120" i="3"/>
  <c r="AR120" i="3"/>
  <c r="AW120" i="3"/>
  <c r="BB120" i="3"/>
  <c r="K121" i="3"/>
  <c r="P121" i="3"/>
  <c r="U121" i="3"/>
  <c r="AA121" i="3"/>
  <c r="AF121" i="3"/>
  <c r="AK121" i="3"/>
  <c r="AQ121" i="3"/>
  <c r="AV121" i="3"/>
  <c r="BA121" i="3"/>
  <c r="BG121" i="3"/>
  <c r="O122" i="3"/>
  <c r="T122" i="3"/>
  <c r="Z122" i="3"/>
  <c r="AE122" i="3"/>
  <c r="AJ122" i="3"/>
  <c r="AP122" i="3"/>
  <c r="AU122" i="3"/>
  <c r="AZ122" i="3"/>
  <c r="BF122" i="3"/>
  <c r="N123" i="3"/>
  <c r="S123" i="3"/>
  <c r="Y123" i="3"/>
  <c r="AD123" i="3"/>
  <c r="AI123" i="3"/>
  <c r="AO123" i="3"/>
  <c r="AT123" i="3"/>
  <c r="AY123" i="3"/>
  <c r="BE123" i="3"/>
  <c r="M124" i="3"/>
  <c r="R124" i="3"/>
  <c r="X124" i="3"/>
  <c r="AC124" i="3"/>
  <c r="AH124" i="3"/>
  <c r="AN124" i="3"/>
  <c r="AS124" i="3"/>
  <c r="AX124" i="3"/>
  <c r="BD124" i="3"/>
  <c r="K125" i="3"/>
  <c r="O125" i="3"/>
  <c r="S125" i="3"/>
  <c r="W125" i="3"/>
  <c r="AA125" i="3"/>
  <c r="AE125" i="3"/>
  <c r="AI125" i="3"/>
  <c r="AM125" i="3"/>
  <c r="AQ125" i="3"/>
  <c r="AU125" i="3"/>
  <c r="AY125" i="3"/>
  <c r="BC125" i="3"/>
  <c r="BG125" i="3"/>
  <c r="N126" i="3"/>
  <c r="R126" i="3"/>
  <c r="V126" i="3"/>
  <c r="Z126" i="3"/>
  <c r="AD126" i="3"/>
  <c r="AH126" i="3"/>
  <c r="AL126" i="3"/>
  <c r="AP126" i="3"/>
  <c r="AT126" i="3"/>
  <c r="AX126" i="3"/>
  <c r="BB126" i="3"/>
  <c r="BF126" i="3"/>
  <c r="M127" i="3"/>
  <c r="Q127" i="3"/>
  <c r="U127" i="3"/>
  <c r="Y127" i="3"/>
  <c r="AC127" i="3"/>
  <c r="AG127" i="3"/>
  <c r="AK127" i="3"/>
  <c r="AO127" i="3"/>
  <c r="AS127" i="3"/>
  <c r="AW127" i="3"/>
  <c r="BA127" i="3"/>
  <c r="BE127" i="3"/>
  <c r="L128" i="3"/>
  <c r="P128" i="3"/>
  <c r="T128" i="3"/>
  <c r="X128" i="3"/>
  <c r="AB128" i="3"/>
  <c r="AF128" i="3"/>
  <c r="AJ128" i="3"/>
  <c r="AN128" i="3"/>
  <c r="AR128" i="3"/>
  <c r="AV128" i="3"/>
  <c r="AZ128" i="3"/>
  <c r="BD128" i="3"/>
  <c r="K129" i="3"/>
  <c r="O129" i="3"/>
  <c r="S129" i="3"/>
  <c r="W129" i="3"/>
  <c r="AA129" i="3"/>
  <c r="AE129" i="3"/>
  <c r="AI129" i="3"/>
  <c r="AM129" i="3"/>
  <c r="AQ129" i="3"/>
  <c r="AU129" i="3"/>
  <c r="AY129" i="3"/>
  <c r="BC129" i="3"/>
  <c r="BG129" i="3"/>
  <c r="N130" i="3"/>
  <c r="R130" i="3"/>
  <c r="V130" i="3"/>
  <c r="Z130" i="3"/>
  <c r="AD130" i="3"/>
  <c r="AH130" i="3"/>
  <c r="AL130" i="3"/>
  <c r="AP130" i="3"/>
  <c r="AT130" i="3"/>
  <c r="AX130" i="3"/>
  <c r="BB130" i="3"/>
  <c r="BF130" i="3"/>
  <c r="M131" i="3"/>
  <c r="Q131" i="3"/>
  <c r="U131" i="3"/>
  <c r="Y131" i="3"/>
  <c r="AC131" i="3"/>
  <c r="AG131" i="3"/>
  <c r="AK131" i="3"/>
  <c r="AO131" i="3"/>
  <c r="AS131" i="3"/>
  <c r="AW131" i="3"/>
  <c r="BA131" i="3"/>
  <c r="BE131" i="3"/>
  <c r="L132" i="3"/>
  <c r="P132" i="3"/>
  <c r="T132" i="3"/>
  <c r="X132" i="3"/>
  <c r="AB132" i="3"/>
  <c r="AF132" i="3"/>
  <c r="AJ132" i="3"/>
  <c r="AN132" i="3"/>
  <c r="AR132" i="3"/>
  <c r="AV132" i="3"/>
  <c r="AZ132" i="3"/>
  <c r="BD132" i="3"/>
  <c r="K133" i="3"/>
  <c r="O133" i="3"/>
  <c r="S133" i="3"/>
  <c r="W133" i="3"/>
  <c r="AA133" i="3"/>
  <c r="AE133" i="3"/>
  <c r="AI133" i="3"/>
  <c r="AM133" i="3"/>
  <c r="AQ133" i="3"/>
  <c r="AU133" i="3"/>
  <c r="AY133" i="3"/>
  <c r="BC133" i="3"/>
  <c r="BG133" i="3"/>
  <c r="N134" i="3"/>
  <c r="R134" i="3"/>
  <c r="V134" i="3"/>
  <c r="Z134" i="3"/>
  <c r="AD134" i="3"/>
  <c r="AH134" i="3"/>
  <c r="AL134" i="3"/>
  <c r="AP134" i="3"/>
  <c r="AT134" i="3"/>
  <c r="AX134" i="3"/>
  <c r="BB134" i="3"/>
  <c r="BF134" i="3"/>
  <c r="BA103" i="3"/>
  <c r="AG104" i="3"/>
  <c r="L105" i="3"/>
  <c r="AN105" i="3"/>
  <c r="U106" i="3"/>
  <c r="AW106" i="3"/>
  <c r="U107" i="3"/>
  <c r="AJ107" i="3"/>
  <c r="AW107" i="3"/>
  <c r="O108" i="3"/>
  <c r="L104" i="3"/>
  <c r="AN104" i="3"/>
  <c r="S105" i="3"/>
  <c r="AV105" i="3"/>
  <c r="AA106" i="3"/>
  <c r="BC106" i="3"/>
  <c r="Z107" i="3"/>
  <c r="AO107" i="3"/>
  <c r="BB107" i="3"/>
  <c r="T108" i="3"/>
  <c r="AI108" i="3"/>
  <c r="AV108" i="3"/>
  <c r="N109" i="3"/>
  <c r="AB109" i="3"/>
  <c r="AP109" i="3"/>
  <c r="BD109" i="3"/>
  <c r="V110" i="3"/>
  <c r="AI110" i="3"/>
  <c r="AX110" i="3"/>
  <c r="P111" i="3"/>
  <c r="AC111" i="3"/>
  <c r="AR111" i="3"/>
  <c r="BF111" i="3"/>
  <c r="W112" i="3"/>
  <c r="AK112" i="3"/>
  <c r="AZ112" i="3"/>
  <c r="P113" i="3"/>
  <c r="AE113" i="3"/>
  <c r="AT113" i="3"/>
  <c r="BD113" i="3"/>
  <c r="R114" i="3"/>
  <c r="Z114" i="3"/>
  <c r="AI114" i="3"/>
  <c r="AT114" i="3"/>
  <c r="BC114" i="3"/>
  <c r="N115" i="3"/>
  <c r="Y115" i="3"/>
  <c r="AH115" i="3"/>
  <c r="AR115" i="3"/>
  <c r="BB115" i="3"/>
  <c r="M116" i="3"/>
  <c r="W116" i="3"/>
  <c r="AG116" i="3"/>
  <c r="AQ116" i="3"/>
  <c r="AY116" i="3"/>
  <c r="L117" i="3"/>
  <c r="V117" i="3"/>
  <c r="AE117" i="3"/>
  <c r="AP117" i="3"/>
  <c r="AX117" i="3"/>
  <c r="BG117" i="3"/>
  <c r="U118" i="3"/>
  <c r="AD118" i="3"/>
  <c r="AL118" i="3"/>
  <c r="AW118" i="3"/>
  <c r="BF118" i="3"/>
  <c r="Q119" i="3"/>
  <c r="Y119" i="3"/>
  <c r="AE119" i="3"/>
  <c r="AL119" i="3"/>
  <c r="AT119" i="3"/>
  <c r="BA119" i="3"/>
  <c r="BG119" i="3"/>
  <c r="R120" i="3"/>
  <c r="Y120" i="3"/>
  <c r="AF120" i="3"/>
  <c r="AN120" i="3"/>
  <c r="AT120" i="3"/>
  <c r="BA120" i="3"/>
  <c r="L121" i="3"/>
  <c r="S121" i="3"/>
  <c r="Y121" i="3"/>
  <c r="AG121" i="3"/>
  <c r="AN121" i="3"/>
  <c r="AU121" i="3"/>
  <c r="BC121" i="3"/>
  <c r="L122" i="3"/>
  <c r="S122" i="3"/>
  <c r="AA122" i="3"/>
  <c r="AH122" i="3"/>
  <c r="AN122" i="3"/>
  <c r="AV122" i="3"/>
  <c r="BC122" i="3"/>
  <c r="M123" i="3"/>
  <c r="U123" i="3"/>
  <c r="S104" i="3"/>
  <c r="AU104" i="3"/>
  <c r="AA105" i="3"/>
  <c r="BC105" i="3"/>
  <c r="AH106" i="3"/>
  <c r="N107" i="3"/>
  <c r="AB107" i="3"/>
  <c r="AP107" i="3"/>
  <c r="BE107" i="3"/>
  <c r="U108" i="3"/>
  <c r="AJ108" i="3"/>
  <c r="AY108" i="3"/>
  <c r="O109" i="3"/>
  <c r="AD109" i="3"/>
  <c r="AR109" i="3"/>
  <c r="BF109" i="3"/>
  <c r="W110" i="3"/>
  <c r="AL110" i="3"/>
  <c r="AY110" i="3"/>
  <c r="Q111" i="3"/>
  <c r="AF111" i="3"/>
  <c r="AS111" i="3"/>
  <c r="K112" i="3"/>
  <c r="Y112" i="3"/>
  <c r="AM112" i="3"/>
  <c r="BA112" i="3"/>
  <c r="S113" i="3"/>
  <c r="AF113" i="3"/>
  <c r="AU113" i="3"/>
  <c r="BG113" i="3"/>
  <c r="S114" i="3"/>
  <c r="AC114" i="3"/>
  <c r="AM114" i="3"/>
  <c r="AU114" i="3"/>
  <c r="BE114" i="3"/>
  <c r="R115" i="3"/>
  <c r="AB115" i="3"/>
  <c r="AJ115" i="3"/>
  <c r="AT115" i="3"/>
  <c r="BD115" i="3"/>
  <c r="P116" i="3"/>
  <c r="AA116" i="3"/>
  <c r="AI116" i="3"/>
  <c r="AR116" i="3"/>
  <c r="BC116" i="3"/>
  <c r="O117" i="3"/>
  <c r="W117" i="3"/>
  <c r="AH117" i="3"/>
  <c r="AQ117" i="3"/>
  <c r="AZ117" i="3"/>
  <c r="N118" i="3"/>
  <c r="V118" i="3"/>
  <c r="AE118" i="3"/>
  <c r="AP118" i="3"/>
  <c r="AY118" i="3"/>
  <c r="BG118" i="3"/>
  <c r="S119" i="3"/>
  <c r="Z119" i="3"/>
  <c r="AG119" i="3"/>
  <c r="AO119" i="3"/>
  <c r="AU119" i="3"/>
  <c r="BB119" i="3"/>
  <c r="M120" i="3"/>
  <c r="T120" i="3"/>
  <c r="Z120" i="3"/>
  <c r="AH120" i="3"/>
  <c r="AO120" i="3"/>
  <c r="AV120" i="3"/>
  <c r="BD120" i="3"/>
  <c r="M121" i="3"/>
  <c r="T121" i="3"/>
  <c r="AB121" i="3"/>
  <c r="AI121" i="3"/>
  <c r="AO121" i="3"/>
  <c r="AW121" i="3"/>
  <c r="BD121" i="3"/>
  <c r="N122" i="3"/>
  <c r="V122" i="3"/>
  <c r="AB122" i="3"/>
  <c r="AI122" i="3"/>
  <c r="AQ122" i="3"/>
  <c r="AX122" i="3"/>
  <c r="BD122" i="3"/>
  <c r="O123" i="3"/>
  <c r="V123" i="3"/>
  <c r="AC123" i="3"/>
  <c r="Y104" i="3"/>
  <c r="BC104" i="3"/>
  <c r="AH105" i="3"/>
  <c r="M106" i="3"/>
  <c r="AP106" i="3"/>
  <c r="T107" i="3"/>
  <c r="AG107" i="3"/>
  <c r="AV107" i="3"/>
  <c r="M108" i="3"/>
  <c r="AA108" i="3"/>
  <c r="AO108" i="3"/>
  <c r="BD108" i="3"/>
  <c r="T109" i="3"/>
  <c r="AI109" i="3"/>
  <c r="AX109" i="3"/>
  <c r="N110" i="3"/>
  <c r="AC110" i="3"/>
  <c r="AQ110" i="3"/>
  <c r="BE110" i="3"/>
  <c r="V111" i="3"/>
  <c r="AK111" i="3"/>
  <c r="AX111" i="3"/>
  <c r="P112" i="3"/>
  <c r="AE112" i="3"/>
  <c r="AR112" i="3"/>
  <c r="BG112" i="3"/>
  <c r="X113" i="3"/>
  <c r="AL113" i="3"/>
  <c r="AZ113" i="3"/>
  <c r="M114" i="3"/>
  <c r="U114" i="3"/>
  <c r="AE114" i="3"/>
  <c r="AO114" i="3"/>
  <c r="AX114" i="3"/>
  <c r="L115" i="3"/>
  <c r="T115" i="3"/>
  <c r="AC115" i="3"/>
  <c r="AN115" i="3"/>
  <c r="AW115" i="3"/>
  <c r="BE115" i="3"/>
  <c r="S116" i="3"/>
  <c r="AB116" i="3"/>
  <c r="AK116" i="3"/>
  <c r="AV116" i="3"/>
  <c r="BD116" i="3"/>
  <c r="P117" i="3"/>
  <c r="AA117" i="3"/>
  <c r="AJ117" i="3"/>
  <c r="AR117" i="3"/>
  <c r="BC117" i="3"/>
  <c r="O118" i="3"/>
  <c r="Y118" i="3"/>
  <c r="AI118" i="3"/>
  <c r="AQ118" i="3"/>
  <c r="BA118" i="3"/>
  <c r="N119" i="3"/>
  <c r="U119" i="3"/>
  <c r="AA119" i="3"/>
  <c r="AI119" i="3"/>
  <c r="AP119" i="3"/>
  <c r="AW119" i="3"/>
  <c r="BE119" i="3"/>
  <c r="N120" i="3"/>
  <c r="U120" i="3"/>
  <c r="AC120" i="3"/>
  <c r="AJ120" i="3"/>
  <c r="AP120" i="3"/>
  <c r="AX120" i="3"/>
  <c r="BE120" i="3"/>
  <c r="O121" i="3"/>
  <c r="W121" i="3"/>
  <c r="AC121" i="3"/>
  <c r="AJ121" i="3"/>
  <c r="AR121" i="3"/>
  <c r="AY121" i="3"/>
  <c r="BE121" i="3"/>
  <c r="P122" i="3"/>
  <c r="W122" i="3"/>
  <c r="AD122" i="3"/>
  <c r="AL122" i="3"/>
  <c r="AR122" i="3"/>
  <c r="AY122" i="3"/>
  <c r="BG122" i="3"/>
  <c r="Q123" i="3"/>
  <c r="W123" i="3"/>
  <c r="AE123" i="3"/>
  <c r="AL123" i="3"/>
  <c r="AS123" i="3"/>
  <c r="BA123" i="3"/>
  <c r="BG123" i="3"/>
  <c r="Q124" i="3"/>
  <c r="Y124" i="3"/>
  <c r="AF124" i="3"/>
  <c r="AL124" i="3"/>
  <c r="AT124" i="3"/>
  <c r="BA124" i="3"/>
  <c r="BG124" i="3"/>
  <c r="P125" i="3"/>
  <c r="U125" i="3"/>
  <c r="Z125" i="3"/>
  <c r="AF125" i="3"/>
  <c r="AK125" i="3"/>
  <c r="AP125" i="3"/>
  <c r="AV125" i="3"/>
  <c r="BA125" i="3"/>
  <c r="BF125" i="3"/>
  <c r="O126" i="3"/>
  <c r="T126" i="3"/>
  <c r="Y126" i="3"/>
  <c r="AE126" i="3"/>
  <c r="AJ126" i="3"/>
  <c r="AO126" i="3"/>
  <c r="AU126" i="3"/>
  <c r="AZ126" i="3"/>
  <c r="BE126" i="3"/>
  <c r="N127" i="3"/>
  <c r="S127" i="3"/>
  <c r="X127" i="3"/>
  <c r="AD127" i="3"/>
  <c r="AI127" i="3"/>
  <c r="AN127" i="3"/>
  <c r="AT127" i="3"/>
  <c r="AY127" i="3"/>
  <c r="BD127" i="3"/>
  <c r="M128" i="3"/>
  <c r="R128" i="3"/>
  <c r="W128" i="3"/>
  <c r="AC128" i="3"/>
  <c r="AH128" i="3"/>
  <c r="AM128" i="3"/>
  <c r="AS128" i="3"/>
  <c r="AX128" i="3"/>
  <c r="BC128" i="3"/>
  <c r="L129" i="3"/>
  <c r="Q129" i="3"/>
  <c r="V129" i="3"/>
  <c r="AB129" i="3"/>
  <c r="AG129" i="3"/>
  <c r="AL129" i="3"/>
  <c r="AR129" i="3"/>
  <c r="AW129" i="3"/>
  <c r="BB129" i="3"/>
  <c r="K130" i="3"/>
  <c r="P130" i="3"/>
  <c r="U130" i="3"/>
  <c r="AA130" i="3"/>
  <c r="AF130" i="3"/>
  <c r="AK130" i="3"/>
  <c r="AQ130" i="3"/>
  <c r="AV130" i="3"/>
  <c r="BA130" i="3"/>
  <c r="BG130" i="3"/>
  <c r="O131" i="3"/>
  <c r="T131" i="3"/>
  <c r="Z131" i="3"/>
  <c r="AE131" i="3"/>
  <c r="AJ131" i="3"/>
  <c r="AP131" i="3"/>
  <c r="AU131" i="3"/>
  <c r="AZ131" i="3"/>
  <c r="BF131" i="3"/>
  <c r="N132" i="3"/>
  <c r="S132" i="3"/>
  <c r="Y132" i="3"/>
  <c r="AD132" i="3"/>
  <c r="AI132" i="3"/>
  <c r="AO132" i="3"/>
  <c r="AT132" i="3"/>
  <c r="AY132" i="3"/>
  <c r="BE132" i="3"/>
  <c r="M133" i="3"/>
  <c r="R133" i="3"/>
  <c r="X133" i="3"/>
  <c r="AC133" i="3"/>
  <c r="AH133" i="3"/>
  <c r="AN133" i="3"/>
  <c r="AS133" i="3"/>
  <c r="AX133" i="3"/>
  <c r="BD133" i="3"/>
  <c r="L134" i="3"/>
  <c r="Q134" i="3"/>
  <c r="W134" i="3"/>
  <c r="AB134" i="3"/>
  <c r="AG134" i="3"/>
  <c r="AM134" i="3"/>
  <c r="AR134" i="3"/>
  <c r="AW134" i="3"/>
  <c r="BC134" i="3"/>
  <c r="AC108" i="3"/>
  <c r="AJ109" i="3"/>
  <c r="AS110" i="3"/>
  <c r="BA111" i="3"/>
  <c r="K113" i="3"/>
  <c r="N114" i="3"/>
  <c r="BA114" i="3"/>
  <c r="AO115" i="3"/>
  <c r="AC116" i="3"/>
  <c r="T117" i="3"/>
  <c r="BF117" i="3"/>
  <c r="AT118" i="3"/>
  <c r="AD119" i="3"/>
  <c r="BF119" i="3"/>
  <c r="AK120" i="3"/>
  <c r="Q121" i="3"/>
  <c r="AS121" i="3"/>
  <c r="X122" i="3"/>
  <c r="BB122" i="3"/>
  <c r="AA123" i="3"/>
  <c r="AM123" i="3"/>
  <c r="AW123" i="3"/>
  <c r="BF123" i="3"/>
  <c r="T124" i="3"/>
  <c r="AB124" i="3"/>
  <c r="AK124" i="3"/>
  <c r="AV124" i="3"/>
  <c r="BE124" i="3"/>
  <c r="N125" i="3"/>
  <c r="V125" i="3"/>
  <c r="AC125" i="3"/>
  <c r="AJ125" i="3"/>
  <c r="AR125" i="3"/>
  <c r="AX125" i="3"/>
  <c r="BE125" i="3"/>
  <c r="P126" i="3"/>
  <c r="W126" i="3"/>
  <c r="AC126" i="3"/>
  <c r="AK126" i="3"/>
  <c r="AR126" i="3"/>
  <c r="AY126" i="3"/>
  <c r="BG126" i="3"/>
  <c r="P127" i="3"/>
  <c r="W127" i="3"/>
  <c r="AE127" i="3"/>
  <c r="AL127" i="3"/>
  <c r="AR127" i="3"/>
  <c r="AZ127" i="3"/>
  <c r="BG127" i="3"/>
  <c r="Q128" i="3"/>
  <c r="Y128" i="3"/>
  <c r="AE128" i="3"/>
  <c r="AL128" i="3"/>
  <c r="AT128" i="3"/>
  <c r="BA128" i="3"/>
  <c r="BG128" i="3"/>
  <c r="R129" i="3"/>
  <c r="Y129" i="3"/>
  <c r="AF129" i="3"/>
  <c r="AN129" i="3"/>
  <c r="AT129" i="3"/>
  <c r="BA129" i="3"/>
  <c r="L130" i="3"/>
  <c r="S130" i="3"/>
  <c r="Y130" i="3"/>
  <c r="AG130" i="3"/>
  <c r="AN130" i="3"/>
  <c r="AU130" i="3"/>
  <c r="BC130" i="3"/>
  <c r="L131" i="3"/>
  <c r="S131" i="3"/>
  <c r="AA131" i="3"/>
  <c r="AH131" i="3"/>
  <c r="AN131" i="3"/>
  <c r="AV131" i="3"/>
  <c r="BC131" i="3"/>
  <c r="M132" i="3"/>
  <c r="U132" i="3"/>
  <c r="AA132" i="3"/>
  <c r="AH132" i="3"/>
  <c r="AP132" i="3"/>
  <c r="AW132" i="3"/>
  <c r="BC132" i="3"/>
  <c r="N133" i="3"/>
  <c r="U133" i="3"/>
  <c r="AB133" i="3"/>
  <c r="AJ133" i="3"/>
  <c r="AP133" i="3"/>
  <c r="AW133" i="3"/>
  <c r="BE133" i="3"/>
  <c r="O134" i="3"/>
  <c r="U134" i="3"/>
  <c r="AC134" i="3"/>
  <c r="AJ134" i="3"/>
  <c r="AQ134" i="3"/>
  <c r="AY134" i="3"/>
  <c r="BE134" i="3"/>
  <c r="AQ108" i="3"/>
  <c r="AY109" i="3"/>
  <c r="BG110" i="3"/>
  <c r="Q112" i="3"/>
  <c r="Z113" i="3"/>
  <c r="Y114" i="3"/>
  <c r="M115" i="3"/>
  <c r="AX115" i="3"/>
  <c r="AN116" i="3"/>
  <c r="AB117" i="3"/>
  <c r="Q118" i="3"/>
  <c r="BE118" i="3"/>
  <c r="AK119" i="3"/>
  <c r="P120" i="3"/>
  <c r="AS120" i="3"/>
  <c r="X121" i="3"/>
  <c r="AZ121" i="3"/>
  <c r="AF122" i="3"/>
  <c r="K123" i="3"/>
  <c r="AG123" i="3"/>
  <c r="AP123" i="3"/>
  <c r="AX123" i="3"/>
  <c r="L124" i="3"/>
  <c r="U124" i="3"/>
  <c r="AD124" i="3"/>
  <c r="AO124" i="3"/>
  <c r="AW124" i="3"/>
  <c r="BF124" i="3"/>
  <c r="Q125" i="3"/>
  <c r="X125" i="3"/>
  <c r="AD125" i="3"/>
  <c r="AL125" i="3"/>
  <c r="AS125" i="3"/>
  <c r="AZ125" i="3"/>
  <c r="K126" i="3"/>
  <c r="Q126" i="3"/>
  <c r="X126" i="3"/>
  <c r="AF126" i="3"/>
  <c r="AM126" i="3"/>
  <c r="AS126" i="3"/>
  <c r="BA126" i="3"/>
  <c r="K127" i="3"/>
  <c r="R127" i="3"/>
  <c r="Z127" i="3"/>
  <c r="AF127" i="3"/>
  <c r="AM127" i="3"/>
  <c r="AU127" i="3"/>
  <c r="BB127" i="3"/>
  <c r="K128" i="3"/>
  <c r="S128" i="3"/>
  <c r="Z128" i="3"/>
  <c r="AG128" i="3"/>
  <c r="AO128" i="3"/>
  <c r="AU128" i="3"/>
  <c r="BB128" i="3"/>
  <c r="M129" i="3"/>
  <c r="T129" i="3"/>
  <c r="Z129" i="3"/>
  <c r="AH129" i="3"/>
  <c r="AO129" i="3"/>
  <c r="AV129" i="3"/>
  <c r="BD129" i="3"/>
  <c r="M130" i="3"/>
  <c r="T130" i="3"/>
  <c r="AB130" i="3"/>
  <c r="AI130" i="3"/>
  <c r="AO130" i="3"/>
  <c r="AW130" i="3"/>
  <c r="BD130" i="3"/>
  <c r="N131" i="3"/>
  <c r="V131" i="3"/>
  <c r="AB131" i="3"/>
  <c r="AI131" i="3"/>
  <c r="AQ131" i="3"/>
  <c r="AX131" i="3"/>
  <c r="BD131" i="3"/>
  <c r="O132" i="3"/>
  <c r="V132" i="3"/>
  <c r="AC132" i="3"/>
  <c r="AK132" i="3"/>
  <c r="AQ132" i="3"/>
  <c r="AX132" i="3"/>
  <c r="BF132" i="3"/>
  <c r="P133" i="3"/>
  <c r="V133" i="3"/>
  <c r="AD133" i="3"/>
  <c r="AK133" i="3"/>
  <c r="AR133" i="3"/>
  <c r="AZ133" i="3"/>
  <c r="BF133" i="3"/>
  <c r="P134" i="3"/>
  <c r="X134" i="3"/>
  <c r="AE134" i="3"/>
  <c r="AK134" i="3"/>
  <c r="AS134" i="3"/>
  <c r="AZ134" i="3"/>
  <c r="BG134" i="3"/>
  <c r="BE108" i="3"/>
  <c r="Q110" i="3"/>
  <c r="X111" i="3"/>
  <c r="AF112" i="3"/>
  <c r="AN113" i="3"/>
  <c r="AH114" i="3"/>
  <c r="V115" i="3"/>
  <c r="L116" i="3"/>
  <c r="AW116" i="3"/>
  <c r="AL117" i="3"/>
  <c r="AA118" i="3"/>
  <c r="O119" i="3"/>
  <c r="AQ119" i="3"/>
  <c r="X120" i="3"/>
  <c r="AZ120" i="3"/>
  <c r="AE121" i="3"/>
  <c r="K122" i="3"/>
  <c r="AM122" i="3"/>
  <c r="R123" i="3"/>
  <c r="AH123" i="3"/>
  <c r="AQ123" i="3"/>
  <c r="BB123" i="3"/>
  <c r="N124" i="3"/>
  <c r="V124" i="3"/>
  <c r="AG124" i="3"/>
  <c r="AP124" i="3"/>
  <c r="AZ124" i="3"/>
  <c r="L125" i="3"/>
  <c r="R125" i="3"/>
  <c r="Y125" i="3"/>
  <c r="AG125" i="3"/>
  <c r="AN125" i="3"/>
  <c r="AT125" i="3"/>
  <c r="BB125" i="3"/>
  <c r="L126" i="3"/>
  <c r="S126" i="3"/>
  <c r="AA126" i="3"/>
  <c r="AG126" i="3"/>
  <c r="AN126" i="3"/>
  <c r="AV126" i="3"/>
  <c r="BC126" i="3"/>
  <c r="L127" i="3"/>
  <c r="T127" i="3"/>
  <c r="AA127" i="3"/>
  <c r="AH127" i="3"/>
  <c r="AP127" i="3"/>
  <c r="AV127" i="3"/>
  <c r="BC127" i="3"/>
  <c r="N128" i="3"/>
  <c r="U128" i="3"/>
  <c r="AA128" i="3"/>
  <c r="AI128" i="3"/>
  <c r="AP128" i="3"/>
  <c r="AW128" i="3"/>
  <c r="BE128" i="3"/>
  <c r="N129" i="3"/>
  <c r="U129" i="3"/>
  <c r="AC129" i="3"/>
  <c r="AJ129" i="3"/>
  <c r="AP129" i="3"/>
  <c r="AX129" i="3"/>
  <c r="BE129" i="3"/>
  <c r="O130" i="3"/>
  <c r="W130" i="3"/>
  <c r="AC130" i="3"/>
  <c r="AJ130" i="3"/>
  <c r="AR130" i="3"/>
  <c r="AY130" i="3"/>
  <c r="BE130" i="3"/>
  <c r="P131" i="3"/>
  <c r="W131" i="3"/>
  <c r="AD131" i="3"/>
  <c r="AL131" i="3"/>
  <c r="AR131" i="3"/>
  <c r="AY131" i="3"/>
  <c r="BG131" i="3"/>
  <c r="Q132" i="3"/>
  <c r="W132" i="3"/>
  <c r="AE132" i="3"/>
  <c r="AL132" i="3"/>
  <c r="AS132" i="3"/>
  <c r="BA132" i="3"/>
  <c r="BG132" i="3"/>
  <c r="Q133" i="3"/>
  <c r="Y133" i="3"/>
  <c r="AF133" i="3"/>
  <c r="AL133" i="3"/>
  <c r="AT133" i="3"/>
  <c r="BA133" i="3"/>
  <c r="K134" i="3"/>
  <c r="S134" i="3"/>
  <c r="Y134" i="3"/>
  <c r="AF134" i="3"/>
  <c r="AN134" i="3"/>
  <c r="AU134" i="3"/>
  <c r="BA134" i="3"/>
  <c r="W109" i="3"/>
  <c r="AD110" i="3"/>
  <c r="AL111" i="3"/>
  <c r="AU112" i="3"/>
  <c r="BB113" i="3"/>
  <c r="AP114" i="3"/>
  <c r="AG115" i="3"/>
  <c r="U116" i="3"/>
  <c r="BG116" i="3"/>
  <c r="AV117" i="3"/>
  <c r="AK118" i="3"/>
  <c r="V119" i="3"/>
  <c r="AY119" i="3"/>
  <c r="AD120" i="3"/>
  <c r="BF120" i="3"/>
  <c r="AM121" i="3"/>
  <c r="R122" i="3"/>
  <c r="AT122" i="3"/>
  <c r="Z123" i="3"/>
  <c r="AK123" i="3"/>
  <c r="AU123" i="3"/>
  <c r="BC123" i="3"/>
  <c r="P124" i="3"/>
  <c r="Z124" i="3"/>
  <c r="AJ124" i="3"/>
  <c r="AR124" i="3"/>
  <c r="BB124" i="3"/>
  <c r="M125" i="3"/>
  <c r="T125" i="3"/>
  <c r="AB125" i="3"/>
  <c r="AH125" i="3"/>
  <c r="AO125" i="3"/>
  <c r="AW125" i="3"/>
  <c r="BD125" i="3"/>
  <c r="M126" i="3"/>
  <c r="U126" i="3"/>
  <c r="AB126" i="3"/>
  <c r="AI126" i="3"/>
  <c r="AQ126" i="3"/>
  <c r="AW126" i="3"/>
  <c r="BD126" i="3"/>
  <c r="O127" i="3"/>
  <c r="V127" i="3"/>
  <c r="AB127" i="3"/>
  <c r="AJ127" i="3"/>
  <c r="AQ127" i="3"/>
  <c r="AX127" i="3"/>
  <c r="BF127" i="3"/>
  <c r="O128" i="3"/>
  <c r="V128" i="3"/>
  <c r="AD128" i="3"/>
  <c r="AK128" i="3"/>
  <c r="AQ128" i="3"/>
  <c r="AY128" i="3"/>
  <c r="BF128" i="3"/>
  <c r="P129" i="3"/>
  <c r="X129" i="3"/>
  <c r="AD129" i="3"/>
  <c r="AK129" i="3"/>
  <c r="AS129" i="3"/>
  <c r="AZ129" i="3"/>
  <c r="BF129" i="3"/>
  <c r="Q130" i="3"/>
  <c r="X130" i="3"/>
  <c r="AE130" i="3"/>
  <c r="AM130" i="3"/>
  <c r="AS130" i="3"/>
  <c r="AZ130" i="3"/>
  <c r="K131" i="3"/>
  <c r="R131" i="3"/>
  <c r="X131" i="3"/>
  <c r="AF131" i="3"/>
  <c r="AM131" i="3"/>
  <c r="AT131" i="3"/>
  <c r="BB131" i="3"/>
  <c r="K132" i="3"/>
  <c r="R132" i="3"/>
  <c r="Z132" i="3"/>
  <c r="AG132" i="3"/>
  <c r="AM132" i="3"/>
  <c r="AU132" i="3"/>
  <c r="BB132" i="3"/>
  <c r="L133" i="3"/>
  <c r="T133" i="3"/>
  <c r="Z133" i="3"/>
  <c r="AG133" i="3"/>
  <c r="AO133" i="3"/>
  <c r="AV133" i="3"/>
  <c r="BB133" i="3"/>
  <c r="M134" i="3"/>
  <c r="T134" i="3"/>
  <c r="AA134" i="3"/>
  <c r="AI134" i="3"/>
  <c r="AO134" i="3"/>
  <c r="AV134" i="3"/>
  <c r="BD134" i="3"/>
  <c r="M141" i="3" l="1" a="1"/>
  <c r="M141" i="3" l="1"/>
  <c r="N141" i="3" s="1"/>
  <c r="M145" i="3"/>
  <c r="N145" i="3" s="1"/>
  <c r="O28" i="3" s="1"/>
  <c r="M149" i="3"/>
  <c r="N149" i="3" s="1"/>
  <c r="S28" i="3" s="1"/>
  <c r="M153" i="3"/>
  <c r="N153" i="3" s="1"/>
  <c r="W28" i="3" s="1"/>
  <c r="M157" i="3"/>
  <c r="N157" i="3" s="1"/>
  <c r="AA28" i="3" s="1"/>
  <c r="M161" i="3"/>
  <c r="N161" i="3" s="1"/>
  <c r="AE28" i="3" s="1"/>
  <c r="M165" i="3"/>
  <c r="N165" i="3" s="1"/>
  <c r="AI28" i="3" s="1"/>
  <c r="M169" i="3"/>
  <c r="N169" i="3" s="1"/>
  <c r="AM28" i="3" s="1"/>
  <c r="M173" i="3"/>
  <c r="N173" i="3" s="1"/>
  <c r="AQ28" i="3" s="1"/>
  <c r="M177" i="3"/>
  <c r="N177" i="3" s="1"/>
  <c r="AU28" i="3" s="1"/>
  <c r="M181" i="3"/>
  <c r="N181" i="3" s="1"/>
  <c r="AY28" i="3" s="1"/>
  <c r="M185" i="3"/>
  <c r="N185" i="3" s="1"/>
  <c r="BC28" i="3" s="1"/>
  <c r="M189" i="3"/>
  <c r="N189" i="3" s="1"/>
  <c r="BG28" i="3" s="1"/>
  <c r="M148" i="3"/>
  <c r="N148" i="3" s="1"/>
  <c r="R28" i="3" s="1"/>
  <c r="M156" i="3"/>
  <c r="N156" i="3" s="1"/>
  <c r="Z28" i="3" s="1"/>
  <c r="M164" i="3"/>
  <c r="N164" i="3" s="1"/>
  <c r="AH28" i="3" s="1"/>
  <c r="M172" i="3"/>
  <c r="N172" i="3" s="1"/>
  <c r="AP28" i="3" s="1"/>
  <c r="M180" i="3"/>
  <c r="N180" i="3" s="1"/>
  <c r="AX28" i="3" s="1"/>
  <c r="M188" i="3"/>
  <c r="N188" i="3" s="1"/>
  <c r="BF28" i="3" s="1"/>
  <c r="M142" i="3"/>
  <c r="N142" i="3" s="1"/>
  <c r="L28" i="3" s="1"/>
  <c r="M146" i="3"/>
  <c r="N146" i="3" s="1"/>
  <c r="P28" i="3" s="1"/>
  <c r="M150" i="3"/>
  <c r="N150" i="3" s="1"/>
  <c r="T28" i="3" s="1"/>
  <c r="M154" i="3"/>
  <c r="N154" i="3" s="1"/>
  <c r="X28" i="3" s="1"/>
  <c r="M158" i="3"/>
  <c r="N158" i="3" s="1"/>
  <c r="AB28" i="3" s="1"/>
  <c r="M162" i="3"/>
  <c r="N162" i="3" s="1"/>
  <c r="AF28" i="3" s="1"/>
  <c r="M166" i="3"/>
  <c r="N166" i="3" s="1"/>
  <c r="AJ28" i="3" s="1"/>
  <c r="M170" i="3"/>
  <c r="N170" i="3" s="1"/>
  <c r="AN28" i="3" s="1"/>
  <c r="M174" i="3"/>
  <c r="N174" i="3" s="1"/>
  <c r="AR28" i="3" s="1"/>
  <c r="M178" i="3"/>
  <c r="N178" i="3" s="1"/>
  <c r="AV28" i="3" s="1"/>
  <c r="M182" i="3"/>
  <c r="N182" i="3" s="1"/>
  <c r="AZ28" i="3" s="1"/>
  <c r="M186" i="3"/>
  <c r="N186" i="3" s="1"/>
  <c r="BD28" i="3" s="1"/>
  <c r="M152" i="3"/>
  <c r="N152" i="3" s="1"/>
  <c r="V28" i="3" s="1"/>
  <c r="M143" i="3"/>
  <c r="N143" i="3" s="1"/>
  <c r="M28" i="3" s="1"/>
  <c r="M147" i="3"/>
  <c r="N147" i="3" s="1"/>
  <c r="Q28" i="3" s="1"/>
  <c r="M151" i="3"/>
  <c r="N151" i="3" s="1"/>
  <c r="U28" i="3" s="1"/>
  <c r="M155" i="3"/>
  <c r="N155" i="3" s="1"/>
  <c r="Y28" i="3" s="1"/>
  <c r="M159" i="3"/>
  <c r="N159" i="3" s="1"/>
  <c r="AC28" i="3" s="1"/>
  <c r="M163" i="3"/>
  <c r="N163" i="3" s="1"/>
  <c r="AG28" i="3" s="1"/>
  <c r="M167" i="3"/>
  <c r="N167" i="3" s="1"/>
  <c r="AK28" i="3" s="1"/>
  <c r="M171" i="3"/>
  <c r="N171" i="3" s="1"/>
  <c r="AO28" i="3" s="1"/>
  <c r="M175" i="3"/>
  <c r="N175" i="3" s="1"/>
  <c r="AS28" i="3" s="1"/>
  <c r="M179" i="3"/>
  <c r="N179" i="3" s="1"/>
  <c r="M183" i="3"/>
  <c r="N183" i="3" s="1"/>
  <c r="BA28" i="3" s="1"/>
  <c r="M187" i="3"/>
  <c r="N187" i="3" s="1"/>
  <c r="BE28" i="3" s="1"/>
  <c r="M144" i="3"/>
  <c r="N144" i="3" s="1"/>
  <c r="N28" i="3" s="1"/>
  <c r="M160" i="3"/>
  <c r="N160" i="3" s="1"/>
  <c r="AD28" i="3" s="1"/>
  <c r="M168" i="3"/>
  <c r="N168" i="3" s="1"/>
  <c r="AL28" i="3" s="1"/>
  <c r="M176" i="3"/>
  <c r="N176" i="3" s="1"/>
  <c r="AT28" i="3" s="1"/>
  <c r="M184" i="3"/>
  <c r="N184" i="3" s="1"/>
  <c r="BB28" i="3" s="1"/>
  <c r="O141" i="3" l="1" a="1"/>
  <c r="O141" i="3" s="1"/>
  <c r="AW28" i="3"/>
  <c r="K28" i="3"/>
  <c r="O180" i="3" l="1"/>
  <c r="P180" i="3" s="1"/>
  <c r="O164" i="3"/>
  <c r="P164" i="3" s="1"/>
  <c r="AH27" i="3" s="1"/>
  <c r="O187" i="3"/>
  <c r="P187" i="3" s="1"/>
  <c r="O171" i="3"/>
  <c r="P171" i="3" s="1"/>
  <c r="AO27" i="3" s="1"/>
  <c r="O155" i="3"/>
  <c r="P155" i="3" s="1"/>
  <c r="Y27" i="3" s="1"/>
  <c r="O148" i="3"/>
  <c r="P148" i="3" s="1"/>
  <c r="R27" i="3" s="1"/>
  <c r="O174" i="3"/>
  <c r="P174" i="3" s="1"/>
  <c r="AR27" i="3" s="1"/>
  <c r="O158" i="3"/>
  <c r="P158" i="3" s="1"/>
  <c r="AB27" i="3" s="1"/>
  <c r="O142" i="3"/>
  <c r="P142" i="3" s="1"/>
  <c r="L27" i="3" s="1"/>
  <c r="O181" i="3"/>
  <c r="P181" i="3" s="1"/>
  <c r="AY27" i="3" s="1"/>
  <c r="O165" i="3"/>
  <c r="P165" i="3" s="1"/>
  <c r="AI27" i="3" s="1"/>
  <c r="O149" i="3"/>
  <c r="P149" i="3" s="1"/>
  <c r="S27" i="3" s="1"/>
  <c r="O176" i="3"/>
  <c r="P176" i="3" s="1"/>
  <c r="AT27" i="3" s="1"/>
  <c r="O160" i="3"/>
  <c r="P160" i="3" s="1"/>
  <c r="AD27" i="3" s="1"/>
  <c r="O183" i="3"/>
  <c r="P183" i="3" s="1"/>
  <c r="BA27" i="3" s="1"/>
  <c r="O167" i="3"/>
  <c r="P167" i="3" s="1"/>
  <c r="AK27" i="3" s="1"/>
  <c r="O151" i="3"/>
  <c r="P151" i="3" s="1"/>
  <c r="U27" i="3" s="1"/>
  <c r="O186" i="3"/>
  <c r="P186" i="3" s="1"/>
  <c r="BD27" i="3" s="1"/>
  <c r="O170" i="3"/>
  <c r="P170" i="3" s="1"/>
  <c r="AN27" i="3" s="1"/>
  <c r="O154" i="3"/>
  <c r="P154" i="3" s="1"/>
  <c r="X27" i="3" s="1"/>
  <c r="O144" i="3"/>
  <c r="P144" i="3" s="1"/>
  <c r="N27" i="3" s="1"/>
  <c r="O177" i="3"/>
  <c r="P177" i="3" s="1"/>
  <c r="AU27" i="3" s="1"/>
  <c r="O161" i="3"/>
  <c r="P161" i="3" s="1"/>
  <c r="AE27" i="3" s="1"/>
  <c r="O145" i="3"/>
  <c r="P145" i="3" s="1"/>
  <c r="O27" i="3" s="1"/>
  <c r="O184" i="3"/>
  <c r="P184" i="3" s="1"/>
  <c r="O168" i="3"/>
  <c r="P168" i="3" s="1"/>
  <c r="AL27" i="3" s="1"/>
  <c r="O152" i="3"/>
  <c r="P152" i="3" s="1"/>
  <c r="V27" i="3" s="1"/>
  <c r="O175" i="3"/>
  <c r="P175" i="3" s="1"/>
  <c r="AS27" i="3" s="1"/>
  <c r="O159" i="3"/>
  <c r="P159" i="3" s="1"/>
  <c r="AC27" i="3" s="1"/>
  <c r="O143" i="3"/>
  <c r="P143" i="3" s="1"/>
  <c r="M27" i="3" s="1"/>
  <c r="O178" i="3"/>
  <c r="P178" i="3" s="1"/>
  <c r="AV27" i="3" s="1"/>
  <c r="O162" i="3"/>
  <c r="P162" i="3" s="1"/>
  <c r="AF27" i="3" s="1"/>
  <c r="O146" i="3"/>
  <c r="P146" i="3" s="1"/>
  <c r="P27" i="3" s="1"/>
  <c r="O185" i="3"/>
  <c r="P185" i="3" s="1"/>
  <c r="O169" i="3"/>
  <c r="P169" i="3" s="1"/>
  <c r="AM27" i="3" s="1"/>
  <c r="O153" i="3"/>
  <c r="P153" i="3" s="1"/>
  <c r="W27" i="3" s="1"/>
  <c r="O188" i="3"/>
  <c r="P188" i="3" s="1"/>
  <c r="O172" i="3"/>
  <c r="P172" i="3" s="1"/>
  <c r="AP27" i="3" s="1"/>
  <c r="O156" i="3"/>
  <c r="P156" i="3" s="1"/>
  <c r="Z27" i="3" s="1"/>
  <c r="O179" i="3"/>
  <c r="P179" i="3" s="1"/>
  <c r="O163" i="3"/>
  <c r="P163" i="3" s="1"/>
  <c r="AG27" i="3" s="1"/>
  <c r="O147" i="3"/>
  <c r="P147" i="3" s="1"/>
  <c r="Q27" i="3" s="1"/>
  <c r="O182" i="3"/>
  <c r="P182" i="3" s="1"/>
  <c r="O166" i="3"/>
  <c r="P166" i="3" s="1"/>
  <c r="AJ27" i="3" s="1"/>
  <c r="O150" i="3"/>
  <c r="P150" i="3" s="1"/>
  <c r="T27" i="3" s="1"/>
  <c r="O189" i="3"/>
  <c r="P189" i="3" s="1"/>
  <c r="O173" i="3"/>
  <c r="P173" i="3" s="1"/>
  <c r="AQ27" i="3" s="1"/>
  <c r="O157" i="3"/>
  <c r="P157" i="3" s="1"/>
  <c r="AA27" i="3" s="1"/>
  <c r="P141" i="3"/>
  <c r="Q141" i="3" l="1" a="1"/>
  <c r="Q141" i="3" s="1"/>
  <c r="AX27" i="3"/>
  <c r="AW27" i="3"/>
  <c r="AZ27" i="3"/>
  <c r="BG27" i="3"/>
  <c r="BF27" i="3"/>
  <c r="BE27" i="3"/>
  <c r="BC27" i="3"/>
  <c r="BB27" i="3"/>
  <c r="K27" i="3"/>
  <c r="Q180" i="3" l="1"/>
  <c r="Q164" i="3"/>
  <c r="R164" i="3" s="1"/>
  <c r="AH26" i="3" s="1"/>
  <c r="Q144" i="3"/>
  <c r="R144" i="3" s="1"/>
  <c r="N26" i="3" s="1"/>
  <c r="Q175" i="3"/>
  <c r="R175" i="3" s="1"/>
  <c r="AS26" i="3" s="1"/>
  <c r="Q159" i="3"/>
  <c r="R159" i="3" s="1"/>
  <c r="AC26" i="3" s="1"/>
  <c r="Q143" i="3"/>
  <c r="R143" i="3" s="1"/>
  <c r="M26" i="3" s="1"/>
  <c r="Q178" i="3"/>
  <c r="R178" i="3" s="1"/>
  <c r="AV26" i="3" s="1"/>
  <c r="Q162" i="3"/>
  <c r="R162" i="3" s="1"/>
  <c r="AF26" i="3" s="1"/>
  <c r="Q146" i="3"/>
  <c r="R146" i="3" s="1"/>
  <c r="P26" i="3" s="1"/>
  <c r="Q181" i="3"/>
  <c r="R181" i="3" s="1"/>
  <c r="Q165" i="3"/>
  <c r="R165" i="3" s="1"/>
  <c r="AI26" i="3" s="1"/>
  <c r="Q149" i="3"/>
  <c r="R149" i="3" s="1"/>
  <c r="S26" i="3" s="1"/>
  <c r="Q184" i="3"/>
  <c r="R184" i="3" s="1"/>
  <c r="BB26" i="3" s="1"/>
  <c r="Q168" i="3"/>
  <c r="R168" i="3" s="1"/>
  <c r="AL26" i="3" s="1"/>
  <c r="Q152" i="3"/>
  <c r="R152" i="3" s="1"/>
  <c r="V26" i="3" s="1"/>
  <c r="Q179" i="3"/>
  <c r="R179" i="3" s="1"/>
  <c r="Q163" i="3"/>
  <c r="R163" i="3" s="1"/>
  <c r="AG26" i="3" s="1"/>
  <c r="Q147" i="3"/>
  <c r="R147" i="3" s="1"/>
  <c r="Q26" i="3" s="1"/>
  <c r="Q182" i="3"/>
  <c r="R182" i="3" s="1"/>
  <c r="AZ26" i="3" s="1"/>
  <c r="Q166" i="3"/>
  <c r="R166" i="3" s="1"/>
  <c r="AJ26" i="3" s="1"/>
  <c r="Q150" i="3"/>
  <c r="R150" i="3" s="1"/>
  <c r="T26" i="3" s="1"/>
  <c r="Q185" i="3"/>
  <c r="R185" i="3" s="1"/>
  <c r="BC26" i="3" s="1"/>
  <c r="Q169" i="3"/>
  <c r="R169" i="3" s="1"/>
  <c r="AM26" i="3" s="1"/>
  <c r="Q153" i="3"/>
  <c r="R153" i="3" s="1"/>
  <c r="W26" i="3" s="1"/>
  <c r="Q176" i="3"/>
  <c r="R176" i="3" s="1"/>
  <c r="AT26" i="3" s="1"/>
  <c r="Q160" i="3"/>
  <c r="R160" i="3" s="1"/>
  <c r="AD26" i="3" s="1"/>
  <c r="Q187" i="3"/>
  <c r="R187" i="3" s="1"/>
  <c r="Q171" i="3"/>
  <c r="R171" i="3" s="1"/>
  <c r="AO26" i="3" s="1"/>
  <c r="Q155" i="3"/>
  <c r="R155" i="3" s="1"/>
  <c r="Y26" i="3" s="1"/>
  <c r="Q148" i="3"/>
  <c r="R148" i="3" s="1"/>
  <c r="R26" i="3" s="1"/>
  <c r="Q174" i="3"/>
  <c r="R174" i="3" s="1"/>
  <c r="AR26" i="3" s="1"/>
  <c r="Q158" i="3"/>
  <c r="R158" i="3" s="1"/>
  <c r="AB26" i="3" s="1"/>
  <c r="Q142" i="3"/>
  <c r="R142" i="3" s="1"/>
  <c r="L26" i="3" s="1"/>
  <c r="Q177" i="3"/>
  <c r="R177" i="3" s="1"/>
  <c r="AU26" i="3" s="1"/>
  <c r="Q161" i="3"/>
  <c r="R161" i="3" s="1"/>
  <c r="AE26" i="3" s="1"/>
  <c r="Q145" i="3"/>
  <c r="R145" i="3" s="1"/>
  <c r="O26" i="3" s="1"/>
  <c r="Q188" i="3"/>
  <c r="R188" i="3" s="1"/>
  <c r="BF26" i="3" s="1"/>
  <c r="Q172" i="3"/>
  <c r="R172" i="3" s="1"/>
  <c r="AP26" i="3" s="1"/>
  <c r="Q156" i="3"/>
  <c r="R156" i="3" s="1"/>
  <c r="Z26" i="3" s="1"/>
  <c r="Q183" i="3"/>
  <c r="R183" i="3" s="1"/>
  <c r="Q167" i="3"/>
  <c r="R167" i="3" s="1"/>
  <c r="AK26" i="3" s="1"/>
  <c r="Q151" i="3"/>
  <c r="R151" i="3" s="1"/>
  <c r="U26" i="3" s="1"/>
  <c r="Q186" i="3"/>
  <c r="R186" i="3" s="1"/>
  <c r="Q170" i="3"/>
  <c r="R170" i="3" s="1"/>
  <c r="AN26" i="3" s="1"/>
  <c r="Q154" i="3"/>
  <c r="R154" i="3" s="1"/>
  <c r="X26" i="3" s="1"/>
  <c r="Q189" i="3"/>
  <c r="R189" i="3" s="1"/>
  <c r="Q173" i="3"/>
  <c r="R173" i="3" s="1"/>
  <c r="AQ26" i="3" s="1"/>
  <c r="Q157" i="3"/>
  <c r="R157" i="3" s="1"/>
  <c r="AA26" i="3" s="1"/>
  <c r="R180" i="3"/>
  <c r="AX26" i="3" s="1"/>
  <c r="R141" i="3"/>
  <c r="S141" i="3" l="1" a="1"/>
  <c r="S141" i="3" s="1"/>
  <c r="T141" i="3" s="1"/>
  <c r="AW26" i="3"/>
  <c r="BG26" i="3"/>
  <c r="BE26" i="3"/>
  <c r="BD26" i="3"/>
  <c r="BA26" i="3"/>
  <c r="AY26" i="3"/>
  <c r="K26" i="3"/>
  <c r="S176" i="3" l="1"/>
  <c r="T176" i="3" s="1"/>
  <c r="AT25" i="3" s="1"/>
  <c r="S155" i="3"/>
  <c r="T155" i="3" s="1"/>
  <c r="Y25" i="3" s="1"/>
  <c r="S186" i="3"/>
  <c r="T186" i="3" s="1"/>
  <c r="BD25" i="3" s="1"/>
  <c r="S170" i="3"/>
  <c r="T170" i="3" s="1"/>
  <c r="AN25" i="3" s="1"/>
  <c r="S154" i="3"/>
  <c r="T154" i="3" s="1"/>
  <c r="X25" i="3" s="1"/>
  <c r="S188" i="3"/>
  <c r="T188" i="3" s="1"/>
  <c r="BF25" i="3" s="1"/>
  <c r="S156" i="3"/>
  <c r="T156" i="3" s="1"/>
  <c r="Z25" i="3" s="1"/>
  <c r="S185" i="3"/>
  <c r="T185" i="3" s="1"/>
  <c r="BC25" i="3" s="1"/>
  <c r="S169" i="3"/>
  <c r="T169" i="3" s="1"/>
  <c r="AM25" i="3" s="1"/>
  <c r="S153" i="3"/>
  <c r="T153" i="3" s="1"/>
  <c r="W25" i="3" s="1"/>
  <c r="S168" i="3"/>
  <c r="T168" i="3" s="1"/>
  <c r="AL25" i="3" s="1"/>
  <c r="S183" i="3"/>
  <c r="T183" i="3" s="1"/>
  <c r="BA25" i="3" s="1"/>
  <c r="S167" i="3"/>
  <c r="T167" i="3" s="1"/>
  <c r="AK25" i="3" s="1"/>
  <c r="S151" i="3"/>
  <c r="T151" i="3" s="1"/>
  <c r="U25" i="3" s="1"/>
  <c r="S182" i="3"/>
  <c r="T182" i="3" s="1"/>
  <c r="AZ25" i="3" s="1"/>
  <c r="S166" i="3"/>
  <c r="T166" i="3" s="1"/>
  <c r="AJ25" i="3" s="1"/>
  <c r="S150" i="3"/>
  <c r="T150" i="3" s="1"/>
  <c r="T25" i="3" s="1"/>
  <c r="S180" i="3"/>
  <c r="T180" i="3" s="1"/>
  <c r="AX25" i="3" s="1"/>
  <c r="S152" i="3"/>
  <c r="T152" i="3" s="1"/>
  <c r="V25" i="3" s="1"/>
  <c r="S181" i="3"/>
  <c r="T181" i="3" s="1"/>
  <c r="AY25" i="3" s="1"/>
  <c r="S165" i="3"/>
  <c r="T165" i="3" s="1"/>
  <c r="AI25" i="3" s="1"/>
  <c r="S149" i="3"/>
  <c r="T149" i="3" s="1"/>
  <c r="S25" i="3" s="1"/>
  <c r="S187" i="3"/>
  <c r="T187" i="3" s="1"/>
  <c r="BE25" i="3" s="1"/>
  <c r="S160" i="3"/>
  <c r="T160" i="3" s="1"/>
  <c r="AD25" i="3" s="1"/>
  <c r="S179" i="3"/>
  <c r="T179" i="3" s="1"/>
  <c r="S163" i="3"/>
  <c r="T163" i="3" s="1"/>
  <c r="S147" i="3"/>
  <c r="T147" i="3" s="1"/>
  <c r="Q25" i="3" s="1"/>
  <c r="S178" i="3"/>
  <c r="T178" i="3" s="1"/>
  <c r="AV25" i="3" s="1"/>
  <c r="S162" i="3"/>
  <c r="T162" i="3" s="1"/>
  <c r="AF25" i="3" s="1"/>
  <c r="S146" i="3"/>
  <c r="T146" i="3" s="1"/>
  <c r="P25" i="3" s="1"/>
  <c r="S172" i="3"/>
  <c r="T172" i="3" s="1"/>
  <c r="AP25" i="3" s="1"/>
  <c r="S144" i="3"/>
  <c r="T144" i="3" s="1"/>
  <c r="N25" i="3" s="1"/>
  <c r="S177" i="3"/>
  <c r="T177" i="3" s="1"/>
  <c r="AU25" i="3" s="1"/>
  <c r="S161" i="3"/>
  <c r="T161" i="3" s="1"/>
  <c r="AE25" i="3" s="1"/>
  <c r="S145" i="3"/>
  <c r="T145" i="3" s="1"/>
  <c r="S171" i="3"/>
  <c r="T171" i="3" s="1"/>
  <c r="AO25" i="3" s="1"/>
  <c r="S184" i="3"/>
  <c r="T184" i="3" s="1"/>
  <c r="BB25" i="3" s="1"/>
  <c r="S148" i="3"/>
  <c r="T148" i="3" s="1"/>
  <c r="R25" i="3" s="1"/>
  <c r="S175" i="3"/>
  <c r="T175" i="3" s="1"/>
  <c r="AS25" i="3" s="1"/>
  <c r="S159" i="3"/>
  <c r="T159" i="3" s="1"/>
  <c r="AC25" i="3" s="1"/>
  <c r="S143" i="3"/>
  <c r="T143" i="3" s="1"/>
  <c r="M25" i="3" s="1"/>
  <c r="S174" i="3"/>
  <c r="T174" i="3" s="1"/>
  <c r="AR25" i="3" s="1"/>
  <c r="S158" i="3"/>
  <c r="T158" i="3" s="1"/>
  <c r="AB25" i="3" s="1"/>
  <c r="S142" i="3"/>
  <c r="T142" i="3" s="1"/>
  <c r="L25" i="3" s="1"/>
  <c r="S164" i="3"/>
  <c r="T164" i="3" s="1"/>
  <c r="AH25" i="3" s="1"/>
  <c r="S189" i="3"/>
  <c r="T189" i="3" s="1"/>
  <c r="BG25" i="3" s="1"/>
  <c r="S173" i="3"/>
  <c r="T173" i="3" s="1"/>
  <c r="AQ25" i="3" s="1"/>
  <c r="S157" i="3"/>
  <c r="T157" i="3" s="1"/>
  <c r="AA25" i="3" s="1"/>
  <c r="AW25" i="3"/>
  <c r="AG25" i="3"/>
  <c r="O25" i="3" l="1"/>
  <c r="U141" i="3" a="1"/>
  <c r="U149" i="3" s="1"/>
  <c r="K25" i="3"/>
  <c r="U188" i="3" l="1"/>
  <c r="V188" i="3" s="1"/>
  <c r="BF24" i="3" s="1"/>
  <c r="U156" i="3"/>
  <c r="V156" i="3" s="1"/>
  <c r="Z24" i="3" s="1"/>
  <c r="U167" i="3"/>
  <c r="V167" i="3" s="1"/>
  <c r="AK24" i="3" s="1"/>
  <c r="U182" i="3"/>
  <c r="V182" i="3" s="1"/>
  <c r="AZ24" i="3" s="1"/>
  <c r="U150" i="3"/>
  <c r="V150" i="3" s="1"/>
  <c r="T24" i="3" s="1"/>
  <c r="U173" i="3"/>
  <c r="V173" i="3" s="1"/>
  <c r="AQ24" i="3" s="1"/>
  <c r="U184" i="3"/>
  <c r="V184" i="3" s="1"/>
  <c r="BB24" i="3" s="1"/>
  <c r="U152" i="3"/>
  <c r="V152" i="3" s="1"/>
  <c r="V24" i="3" s="1"/>
  <c r="U163" i="3"/>
  <c r="V163" i="3" s="1"/>
  <c r="AG24" i="3" s="1"/>
  <c r="U147" i="3"/>
  <c r="V147" i="3" s="1"/>
  <c r="Q24" i="3" s="1"/>
  <c r="U162" i="3"/>
  <c r="V162" i="3" s="1"/>
  <c r="AF24" i="3" s="1"/>
  <c r="U146" i="3"/>
  <c r="V146" i="3" s="1"/>
  <c r="P24" i="3" s="1"/>
  <c r="U185" i="3"/>
  <c r="V185" i="3" s="1"/>
  <c r="BC24" i="3" s="1"/>
  <c r="U169" i="3"/>
  <c r="V169" i="3" s="1"/>
  <c r="AM24" i="3" s="1"/>
  <c r="U153" i="3"/>
  <c r="V153" i="3" s="1"/>
  <c r="W24" i="3" s="1"/>
  <c r="U176" i="3"/>
  <c r="V176" i="3" s="1"/>
  <c r="AT24" i="3" s="1"/>
  <c r="U160" i="3"/>
  <c r="V160" i="3" s="1"/>
  <c r="AD24" i="3" s="1"/>
  <c r="U187" i="3"/>
  <c r="V187" i="3" s="1"/>
  <c r="BE24" i="3" s="1"/>
  <c r="U171" i="3"/>
  <c r="V171" i="3" s="1"/>
  <c r="AO24" i="3" s="1"/>
  <c r="U155" i="3"/>
  <c r="V155" i="3" s="1"/>
  <c r="Y24" i="3" s="1"/>
  <c r="U186" i="3"/>
  <c r="V186" i="3" s="1"/>
  <c r="BD24" i="3" s="1"/>
  <c r="U170" i="3"/>
  <c r="V170" i="3" s="1"/>
  <c r="AN24" i="3" s="1"/>
  <c r="U154" i="3"/>
  <c r="V154" i="3" s="1"/>
  <c r="X24" i="3" s="1"/>
  <c r="U144" i="3"/>
  <c r="V144" i="3" s="1"/>
  <c r="N24" i="3" s="1"/>
  <c r="U177" i="3"/>
  <c r="V177" i="3" s="1"/>
  <c r="AU24" i="3" s="1"/>
  <c r="U161" i="3"/>
  <c r="V161" i="3" s="1"/>
  <c r="AE24" i="3" s="1"/>
  <c r="U145" i="3"/>
  <c r="V145" i="3" s="1"/>
  <c r="O24" i="3" s="1"/>
  <c r="U172" i="3"/>
  <c r="V172" i="3" s="1"/>
  <c r="AP24" i="3" s="1"/>
  <c r="U183" i="3"/>
  <c r="V183" i="3" s="1"/>
  <c r="BA24" i="3" s="1"/>
  <c r="U151" i="3"/>
  <c r="V151" i="3" s="1"/>
  <c r="U24" i="3" s="1"/>
  <c r="U166" i="3"/>
  <c r="V166" i="3" s="1"/>
  <c r="AJ24" i="3" s="1"/>
  <c r="U189" i="3"/>
  <c r="V189" i="3" s="1"/>
  <c r="BG24" i="3" s="1"/>
  <c r="U157" i="3"/>
  <c r="V157" i="3" s="1"/>
  <c r="AA24" i="3" s="1"/>
  <c r="U141" i="3"/>
  <c r="V141" i="3" s="1"/>
  <c r="U168" i="3"/>
  <c r="V168" i="3" s="1"/>
  <c r="AL24" i="3" s="1"/>
  <c r="U179" i="3"/>
  <c r="V179" i="3" s="1"/>
  <c r="AW24" i="3" s="1"/>
  <c r="U178" i="3"/>
  <c r="V178" i="3" s="1"/>
  <c r="AV24" i="3" s="1"/>
  <c r="U180" i="3"/>
  <c r="V180" i="3" s="1"/>
  <c r="AX24" i="3" s="1"/>
  <c r="U164" i="3"/>
  <c r="V164" i="3" s="1"/>
  <c r="AH24" i="3" s="1"/>
  <c r="U148" i="3"/>
  <c r="V148" i="3" s="1"/>
  <c r="R24" i="3" s="1"/>
  <c r="U175" i="3"/>
  <c r="V175" i="3" s="1"/>
  <c r="AS24" i="3" s="1"/>
  <c r="U159" i="3"/>
  <c r="V159" i="3" s="1"/>
  <c r="AC24" i="3" s="1"/>
  <c r="U143" i="3"/>
  <c r="V143" i="3" s="1"/>
  <c r="M24" i="3" s="1"/>
  <c r="U174" i="3"/>
  <c r="V174" i="3" s="1"/>
  <c r="AR24" i="3" s="1"/>
  <c r="U158" i="3"/>
  <c r="V158" i="3" s="1"/>
  <c r="AB24" i="3" s="1"/>
  <c r="U142" i="3"/>
  <c r="V142" i="3" s="1"/>
  <c r="L24" i="3" s="1"/>
  <c r="U181" i="3"/>
  <c r="V181" i="3" s="1"/>
  <c r="AY24" i="3" s="1"/>
  <c r="U165" i="3"/>
  <c r="V165" i="3" s="1"/>
  <c r="AI24" i="3" s="1"/>
  <c r="V149" i="3"/>
  <c r="S24" i="3" s="1"/>
  <c r="W141" i="3" l="1" a="1"/>
  <c r="W153" i="3" s="1"/>
  <c r="K24" i="3"/>
  <c r="W180" i="3" l="1"/>
  <c r="X180" i="3" s="1"/>
  <c r="AX23" i="3" s="1"/>
  <c r="W164" i="3"/>
  <c r="X164" i="3" s="1"/>
  <c r="AH23" i="3" s="1"/>
  <c r="W148" i="3"/>
  <c r="X148" i="3" s="1"/>
  <c r="R23" i="3" s="1"/>
  <c r="W179" i="3"/>
  <c r="X179" i="3" s="1"/>
  <c r="AW23" i="3" s="1"/>
  <c r="W163" i="3"/>
  <c r="X163" i="3" s="1"/>
  <c r="AG23" i="3" s="1"/>
  <c r="W147" i="3"/>
  <c r="X147" i="3" s="1"/>
  <c r="Q23" i="3" s="1"/>
  <c r="W178" i="3"/>
  <c r="X178" i="3" s="1"/>
  <c r="AV23" i="3" s="1"/>
  <c r="W162" i="3"/>
  <c r="X162" i="3" s="1"/>
  <c r="AF23" i="3" s="1"/>
  <c r="W146" i="3"/>
  <c r="X146" i="3" s="1"/>
  <c r="P23" i="3" s="1"/>
  <c r="W181" i="3"/>
  <c r="X181" i="3" s="1"/>
  <c r="AY23" i="3" s="1"/>
  <c r="W165" i="3"/>
  <c r="X165" i="3" s="1"/>
  <c r="AI23" i="3" s="1"/>
  <c r="W149" i="3"/>
  <c r="X149" i="3" s="1"/>
  <c r="S23" i="3" s="1"/>
  <c r="W176" i="3"/>
  <c r="X176" i="3" s="1"/>
  <c r="AT23" i="3" s="1"/>
  <c r="W160" i="3"/>
  <c r="X160" i="3" s="1"/>
  <c r="AD23" i="3" s="1"/>
  <c r="W144" i="3"/>
  <c r="X144" i="3" s="1"/>
  <c r="N23" i="3" s="1"/>
  <c r="W175" i="3"/>
  <c r="X175" i="3" s="1"/>
  <c r="AS23" i="3" s="1"/>
  <c r="W159" i="3"/>
  <c r="X159" i="3" s="1"/>
  <c r="AC23" i="3" s="1"/>
  <c r="W143" i="3"/>
  <c r="X143" i="3" s="1"/>
  <c r="M23" i="3" s="1"/>
  <c r="W174" i="3"/>
  <c r="X174" i="3" s="1"/>
  <c r="AR23" i="3" s="1"/>
  <c r="W158" i="3"/>
  <c r="X158" i="3" s="1"/>
  <c r="AB23" i="3" s="1"/>
  <c r="W142" i="3"/>
  <c r="X142" i="3" s="1"/>
  <c r="L23" i="3" s="1"/>
  <c r="W177" i="3"/>
  <c r="X177" i="3" s="1"/>
  <c r="AU23" i="3" s="1"/>
  <c r="W161" i="3"/>
  <c r="X161" i="3" s="1"/>
  <c r="AE23" i="3" s="1"/>
  <c r="W145" i="3"/>
  <c r="X145" i="3" s="1"/>
  <c r="O23" i="3" s="1"/>
  <c r="W188" i="3"/>
  <c r="X188" i="3" s="1"/>
  <c r="BF23" i="3" s="1"/>
  <c r="W172" i="3"/>
  <c r="X172" i="3" s="1"/>
  <c r="AP23" i="3" s="1"/>
  <c r="W156" i="3"/>
  <c r="X156" i="3" s="1"/>
  <c r="Z23" i="3" s="1"/>
  <c r="W187" i="3"/>
  <c r="X187" i="3" s="1"/>
  <c r="BE23" i="3" s="1"/>
  <c r="W171" i="3"/>
  <c r="X171" i="3" s="1"/>
  <c r="AO23" i="3" s="1"/>
  <c r="W155" i="3"/>
  <c r="X155" i="3" s="1"/>
  <c r="Y23" i="3" s="1"/>
  <c r="W186" i="3"/>
  <c r="X186" i="3" s="1"/>
  <c r="BD23" i="3" s="1"/>
  <c r="W170" i="3"/>
  <c r="X170" i="3" s="1"/>
  <c r="AN23" i="3" s="1"/>
  <c r="W154" i="3"/>
  <c r="X154" i="3" s="1"/>
  <c r="X23" i="3" s="1"/>
  <c r="W189" i="3"/>
  <c r="X189" i="3" s="1"/>
  <c r="BG23" i="3" s="1"/>
  <c r="W173" i="3"/>
  <c r="X173" i="3" s="1"/>
  <c r="AQ23" i="3" s="1"/>
  <c r="W157" i="3"/>
  <c r="X157" i="3" s="1"/>
  <c r="AA23" i="3" s="1"/>
  <c r="W141" i="3"/>
  <c r="X141" i="3" s="1"/>
  <c r="W184" i="3"/>
  <c r="X184" i="3" s="1"/>
  <c r="BB23" i="3" s="1"/>
  <c r="W168" i="3"/>
  <c r="X168" i="3" s="1"/>
  <c r="AL23" i="3" s="1"/>
  <c r="W152" i="3"/>
  <c r="X152" i="3" s="1"/>
  <c r="V23" i="3" s="1"/>
  <c r="W183" i="3"/>
  <c r="X183" i="3" s="1"/>
  <c r="BA23" i="3" s="1"/>
  <c r="W167" i="3"/>
  <c r="X167" i="3" s="1"/>
  <c r="AK23" i="3" s="1"/>
  <c r="W151" i="3"/>
  <c r="X151" i="3" s="1"/>
  <c r="U23" i="3" s="1"/>
  <c r="W182" i="3"/>
  <c r="X182" i="3" s="1"/>
  <c r="AZ23" i="3" s="1"/>
  <c r="W166" i="3"/>
  <c r="X166" i="3" s="1"/>
  <c r="AJ23" i="3" s="1"/>
  <c r="W150" i="3"/>
  <c r="X150" i="3" s="1"/>
  <c r="T23" i="3" s="1"/>
  <c r="W185" i="3"/>
  <c r="X185" i="3" s="1"/>
  <c r="BC23" i="3" s="1"/>
  <c r="W169" i="3"/>
  <c r="X169" i="3" s="1"/>
  <c r="AM23" i="3" s="1"/>
  <c r="X153" i="3"/>
  <c r="W23" i="3" s="1"/>
  <c r="Y141" i="3" l="1" a="1"/>
  <c r="K23" i="3"/>
  <c r="Y141" i="3" l="1"/>
  <c r="Z141" i="3" s="1"/>
  <c r="Y145" i="3"/>
  <c r="Z145" i="3" s="1"/>
  <c r="O22" i="3" s="1"/>
  <c r="Y149" i="3"/>
  <c r="Z149" i="3" s="1"/>
  <c r="S22" i="3" s="1"/>
  <c r="Y153" i="3"/>
  <c r="Z153" i="3" s="1"/>
  <c r="W22" i="3" s="1"/>
  <c r="Y157" i="3"/>
  <c r="Z157" i="3" s="1"/>
  <c r="AA22" i="3" s="1"/>
  <c r="Y161" i="3"/>
  <c r="Z161" i="3" s="1"/>
  <c r="Y165" i="3"/>
  <c r="Z165" i="3" s="1"/>
  <c r="Y169" i="3"/>
  <c r="Z169" i="3" s="1"/>
  <c r="Y173" i="3"/>
  <c r="Z173" i="3" s="1"/>
  <c r="AQ22" i="3" s="1"/>
  <c r="Y177" i="3"/>
  <c r="Z177" i="3" s="1"/>
  <c r="AU22" i="3" s="1"/>
  <c r="Y181" i="3"/>
  <c r="Z181" i="3" s="1"/>
  <c r="Y185" i="3"/>
  <c r="Z185" i="3" s="1"/>
  <c r="BC22" i="3" s="1"/>
  <c r="Y189" i="3"/>
  <c r="Z189" i="3" s="1"/>
  <c r="BG22" i="3" s="1"/>
  <c r="Y142" i="3"/>
  <c r="Z142" i="3" s="1"/>
  <c r="L22" i="3" s="1"/>
  <c r="Y146" i="3"/>
  <c r="Z146" i="3" s="1"/>
  <c r="P22" i="3" s="1"/>
  <c r="Y150" i="3"/>
  <c r="Z150" i="3" s="1"/>
  <c r="T22" i="3" s="1"/>
  <c r="Y154" i="3"/>
  <c r="Z154" i="3" s="1"/>
  <c r="X22" i="3" s="1"/>
  <c r="Y158" i="3"/>
  <c r="Z158" i="3" s="1"/>
  <c r="AB22" i="3" s="1"/>
  <c r="Y162" i="3"/>
  <c r="Z162" i="3" s="1"/>
  <c r="AF22" i="3" s="1"/>
  <c r="Y166" i="3"/>
  <c r="Z166" i="3" s="1"/>
  <c r="Y170" i="3"/>
  <c r="Z170" i="3" s="1"/>
  <c r="Y174" i="3"/>
  <c r="Z174" i="3" s="1"/>
  <c r="Y178" i="3"/>
  <c r="Z178" i="3" s="1"/>
  <c r="Y182" i="3"/>
  <c r="Z182" i="3" s="1"/>
  <c r="AZ22" i="3" s="1"/>
  <c r="Y186" i="3"/>
  <c r="Z186" i="3" s="1"/>
  <c r="Y143" i="3"/>
  <c r="Z143" i="3" s="1"/>
  <c r="M22" i="3" s="1"/>
  <c r="Y147" i="3"/>
  <c r="Z147" i="3" s="1"/>
  <c r="Q22" i="3" s="1"/>
  <c r="Y151" i="3"/>
  <c r="Z151" i="3" s="1"/>
  <c r="U22" i="3" s="1"/>
  <c r="Y155" i="3"/>
  <c r="Z155" i="3" s="1"/>
  <c r="Y22" i="3" s="1"/>
  <c r="Y159" i="3"/>
  <c r="Z159" i="3" s="1"/>
  <c r="AC22" i="3" s="1"/>
  <c r="Y163" i="3"/>
  <c r="Z163" i="3" s="1"/>
  <c r="AG22" i="3" s="1"/>
  <c r="Y167" i="3"/>
  <c r="Z167" i="3" s="1"/>
  <c r="Y171" i="3"/>
  <c r="Z171" i="3" s="1"/>
  <c r="Y175" i="3"/>
  <c r="Z175" i="3" s="1"/>
  <c r="AS22" i="3" s="1"/>
  <c r="Y179" i="3"/>
  <c r="Z179" i="3" s="1"/>
  <c r="Y183" i="3"/>
  <c r="Z183" i="3" s="1"/>
  <c r="Y187" i="3"/>
  <c r="Z187" i="3" s="1"/>
  <c r="BE22" i="3" s="1"/>
  <c r="Y144" i="3"/>
  <c r="Z144" i="3" s="1"/>
  <c r="N22" i="3" s="1"/>
  <c r="Y148" i="3"/>
  <c r="Z148" i="3" s="1"/>
  <c r="R22" i="3" s="1"/>
  <c r="Y152" i="3"/>
  <c r="Z152" i="3" s="1"/>
  <c r="V22" i="3" s="1"/>
  <c r="Y156" i="3"/>
  <c r="Z156" i="3" s="1"/>
  <c r="Z22" i="3" s="1"/>
  <c r="Y160" i="3"/>
  <c r="Z160" i="3" s="1"/>
  <c r="Y164" i="3"/>
  <c r="Z164" i="3" s="1"/>
  <c r="Y168" i="3"/>
  <c r="Z168" i="3" s="1"/>
  <c r="Y172" i="3"/>
  <c r="Z172" i="3" s="1"/>
  <c r="AP22" i="3" s="1"/>
  <c r="Y176" i="3"/>
  <c r="Z176" i="3" s="1"/>
  <c r="Y180" i="3"/>
  <c r="Z180" i="3" s="1"/>
  <c r="AX22" i="3" s="1"/>
  <c r="Y184" i="3"/>
  <c r="Z184" i="3" s="1"/>
  <c r="BB22" i="3" s="1"/>
  <c r="Y188" i="3"/>
  <c r="Z188" i="3" s="1"/>
  <c r="BF22" i="3" s="1"/>
  <c r="AT22" i="3"/>
  <c r="AA141" i="3" l="1" a="1"/>
  <c r="AW22" i="3"/>
  <c r="AL22" i="3"/>
  <c r="BA22" i="3"/>
  <c r="AK22" i="3"/>
  <c r="AJ22" i="3"/>
  <c r="AM22" i="3"/>
  <c r="AH22" i="3"/>
  <c r="AV22" i="3"/>
  <c r="AY22" i="3"/>
  <c r="AI22" i="3"/>
  <c r="AD22" i="3"/>
  <c r="AR22" i="3"/>
  <c r="AE22" i="3"/>
  <c r="AO22" i="3"/>
  <c r="BD22" i="3"/>
  <c r="AN22" i="3"/>
  <c r="K22" i="3"/>
  <c r="AA141" i="3" l="1"/>
  <c r="AB141" i="3" s="1"/>
  <c r="AA145" i="3"/>
  <c r="AB145" i="3" s="1"/>
  <c r="O21" i="3" s="1"/>
  <c r="AA149" i="3"/>
  <c r="AB149" i="3" s="1"/>
  <c r="S21" i="3" s="1"/>
  <c r="AA153" i="3"/>
  <c r="AB153" i="3" s="1"/>
  <c r="W21" i="3" s="1"/>
  <c r="AA157" i="3"/>
  <c r="AB157" i="3" s="1"/>
  <c r="AA21" i="3" s="1"/>
  <c r="AA161" i="3"/>
  <c r="AB161" i="3" s="1"/>
  <c r="AE21" i="3" s="1"/>
  <c r="AA165" i="3"/>
  <c r="AB165" i="3" s="1"/>
  <c r="AI21" i="3" s="1"/>
  <c r="AA169" i="3"/>
  <c r="AB169" i="3" s="1"/>
  <c r="AM21" i="3" s="1"/>
  <c r="AA173" i="3"/>
  <c r="AB173" i="3" s="1"/>
  <c r="AA177" i="3"/>
  <c r="AB177" i="3" s="1"/>
  <c r="AA181" i="3"/>
  <c r="AB181" i="3" s="1"/>
  <c r="AA185" i="3"/>
  <c r="AB185" i="3" s="1"/>
  <c r="AA189" i="3"/>
  <c r="AB189" i="3" s="1"/>
  <c r="AA142" i="3"/>
  <c r="AB142" i="3" s="1"/>
  <c r="L21" i="3" s="1"/>
  <c r="AA146" i="3"/>
  <c r="AB146" i="3" s="1"/>
  <c r="P21" i="3" s="1"/>
  <c r="AA150" i="3"/>
  <c r="AB150" i="3" s="1"/>
  <c r="T21" i="3" s="1"/>
  <c r="AA154" i="3"/>
  <c r="AB154" i="3" s="1"/>
  <c r="X21" i="3" s="1"/>
  <c r="AA158" i="3"/>
  <c r="AB158" i="3" s="1"/>
  <c r="AB21" i="3" s="1"/>
  <c r="AA162" i="3"/>
  <c r="AB162" i="3" s="1"/>
  <c r="AF21" i="3" s="1"/>
  <c r="AA166" i="3"/>
  <c r="AB166" i="3" s="1"/>
  <c r="AJ21" i="3" s="1"/>
  <c r="AA170" i="3"/>
  <c r="AB170" i="3" s="1"/>
  <c r="AN21" i="3" s="1"/>
  <c r="AA174" i="3"/>
  <c r="AB174" i="3" s="1"/>
  <c r="AR21" i="3" s="1"/>
  <c r="AA178" i="3"/>
  <c r="AB178" i="3" s="1"/>
  <c r="AV21" i="3" s="1"/>
  <c r="AA182" i="3"/>
  <c r="AB182" i="3" s="1"/>
  <c r="AA186" i="3"/>
  <c r="AB186" i="3" s="1"/>
  <c r="BD21" i="3" s="1"/>
  <c r="AA143" i="3"/>
  <c r="AB143" i="3" s="1"/>
  <c r="M21" i="3" s="1"/>
  <c r="AA147" i="3"/>
  <c r="AB147" i="3" s="1"/>
  <c r="Q21" i="3" s="1"/>
  <c r="AA151" i="3"/>
  <c r="AB151" i="3" s="1"/>
  <c r="U21" i="3" s="1"/>
  <c r="AA155" i="3"/>
  <c r="AB155" i="3" s="1"/>
  <c r="Y21" i="3" s="1"/>
  <c r="AA159" i="3"/>
  <c r="AB159" i="3" s="1"/>
  <c r="AC21" i="3" s="1"/>
  <c r="AA163" i="3"/>
  <c r="AB163" i="3" s="1"/>
  <c r="AG21" i="3" s="1"/>
  <c r="AA167" i="3"/>
  <c r="AB167" i="3" s="1"/>
  <c r="AK21" i="3" s="1"/>
  <c r="AA171" i="3"/>
  <c r="AB171" i="3" s="1"/>
  <c r="AO21" i="3" s="1"/>
  <c r="AA175" i="3"/>
  <c r="AB175" i="3" s="1"/>
  <c r="AA179" i="3"/>
  <c r="AB179" i="3" s="1"/>
  <c r="AA183" i="3"/>
  <c r="AB183" i="3" s="1"/>
  <c r="BA21" i="3" s="1"/>
  <c r="AA187" i="3"/>
  <c r="AB187" i="3" s="1"/>
  <c r="AA144" i="3"/>
  <c r="AB144" i="3" s="1"/>
  <c r="N21" i="3" s="1"/>
  <c r="AA148" i="3"/>
  <c r="AB148" i="3" s="1"/>
  <c r="R21" i="3" s="1"/>
  <c r="AA152" i="3"/>
  <c r="AB152" i="3" s="1"/>
  <c r="V21" i="3" s="1"/>
  <c r="AA156" i="3"/>
  <c r="AB156" i="3" s="1"/>
  <c r="Z21" i="3" s="1"/>
  <c r="AA160" i="3"/>
  <c r="AB160" i="3" s="1"/>
  <c r="AA164" i="3"/>
  <c r="AB164" i="3" s="1"/>
  <c r="AH21" i="3" s="1"/>
  <c r="AA168" i="3"/>
  <c r="AB168" i="3" s="1"/>
  <c r="AL21" i="3" s="1"/>
  <c r="AA172" i="3"/>
  <c r="AB172" i="3" s="1"/>
  <c r="AA176" i="3"/>
  <c r="AB176" i="3" s="1"/>
  <c r="AT21" i="3" s="1"/>
  <c r="AA180" i="3"/>
  <c r="AB180" i="3" s="1"/>
  <c r="AA184" i="3"/>
  <c r="AB184" i="3" s="1"/>
  <c r="AA188" i="3"/>
  <c r="AB188" i="3" s="1"/>
  <c r="AC141" i="3" l="1" a="1"/>
  <c r="AD21" i="3"/>
  <c r="AY21" i="3"/>
  <c r="AS21" i="3"/>
  <c r="AU21" i="3"/>
  <c r="AP21" i="3"/>
  <c r="AQ21" i="3"/>
  <c r="BG21" i="3"/>
  <c r="BF21" i="3"/>
  <c r="BE21" i="3"/>
  <c r="BC21" i="3"/>
  <c r="BB21" i="3"/>
  <c r="AX21" i="3"/>
  <c r="AW21" i="3"/>
  <c r="AZ21" i="3"/>
  <c r="K21" i="3"/>
  <c r="AC141" i="3" l="1"/>
  <c r="AD141" i="3" s="1"/>
  <c r="AC145" i="3"/>
  <c r="AD145" i="3" s="1"/>
  <c r="O20" i="3" s="1"/>
  <c r="AC149" i="3"/>
  <c r="AD149" i="3" s="1"/>
  <c r="S20" i="3" s="1"/>
  <c r="AC153" i="3"/>
  <c r="AD153" i="3" s="1"/>
  <c r="W20" i="3" s="1"/>
  <c r="AC157" i="3"/>
  <c r="AD157" i="3" s="1"/>
  <c r="AA20" i="3" s="1"/>
  <c r="AC161" i="3"/>
  <c r="AD161" i="3" s="1"/>
  <c r="AC165" i="3"/>
  <c r="AD165" i="3" s="1"/>
  <c r="AC169" i="3"/>
  <c r="AD169" i="3" s="1"/>
  <c r="AC173" i="3"/>
  <c r="AD173" i="3" s="1"/>
  <c r="AQ20" i="3" s="1"/>
  <c r="AC177" i="3"/>
  <c r="AD177" i="3" s="1"/>
  <c r="AU20" i="3" s="1"/>
  <c r="AC181" i="3"/>
  <c r="AD181" i="3" s="1"/>
  <c r="AC185" i="3"/>
  <c r="AD185" i="3" s="1"/>
  <c r="BC20" i="3" s="1"/>
  <c r="AC189" i="3"/>
  <c r="AD189" i="3" s="1"/>
  <c r="BG20" i="3" s="1"/>
  <c r="AC142" i="3"/>
  <c r="AD142" i="3" s="1"/>
  <c r="L20" i="3" s="1"/>
  <c r="AC146" i="3"/>
  <c r="AD146" i="3" s="1"/>
  <c r="P20" i="3" s="1"/>
  <c r="AC150" i="3"/>
  <c r="AD150" i="3" s="1"/>
  <c r="T20" i="3" s="1"/>
  <c r="AC154" i="3"/>
  <c r="AD154" i="3" s="1"/>
  <c r="X20" i="3" s="1"/>
  <c r="AC158" i="3"/>
  <c r="AD158" i="3" s="1"/>
  <c r="AB20" i="3" s="1"/>
  <c r="AC162" i="3"/>
  <c r="AD162" i="3" s="1"/>
  <c r="AC166" i="3"/>
  <c r="AD166" i="3" s="1"/>
  <c r="AJ20" i="3" s="1"/>
  <c r="AC170" i="3"/>
  <c r="AD170" i="3" s="1"/>
  <c r="AC174" i="3"/>
  <c r="AD174" i="3" s="1"/>
  <c r="AC178" i="3"/>
  <c r="AD178" i="3" s="1"/>
  <c r="AC182" i="3"/>
  <c r="AD182" i="3" s="1"/>
  <c r="AZ20" i="3" s="1"/>
  <c r="AC186" i="3"/>
  <c r="AD186" i="3" s="1"/>
  <c r="AC143" i="3"/>
  <c r="AD143" i="3" s="1"/>
  <c r="M20" i="3" s="1"/>
  <c r="AC147" i="3"/>
  <c r="AD147" i="3" s="1"/>
  <c r="Q20" i="3" s="1"/>
  <c r="AC151" i="3"/>
  <c r="AD151" i="3" s="1"/>
  <c r="U20" i="3" s="1"/>
  <c r="AC155" i="3"/>
  <c r="AD155" i="3" s="1"/>
  <c r="Y20" i="3" s="1"/>
  <c r="AC159" i="3"/>
  <c r="AD159" i="3" s="1"/>
  <c r="AC20" i="3" s="1"/>
  <c r="AC163" i="3"/>
  <c r="AD163" i="3" s="1"/>
  <c r="AC167" i="3"/>
  <c r="AD167" i="3" s="1"/>
  <c r="AK20" i="3" s="1"/>
  <c r="AC171" i="3"/>
  <c r="AD171" i="3" s="1"/>
  <c r="AC175" i="3"/>
  <c r="AD175" i="3" s="1"/>
  <c r="AS20" i="3" s="1"/>
  <c r="AC179" i="3"/>
  <c r="AD179" i="3" s="1"/>
  <c r="AC183" i="3"/>
  <c r="AD183" i="3" s="1"/>
  <c r="AC187" i="3"/>
  <c r="AD187" i="3" s="1"/>
  <c r="BE20" i="3" s="1"/>
  <c r="AC144" i="3"/>
  <c r="AD144" i="3" s="1"/>
  <c r="N20" i="3" s="1"/>
  <c r="AC148" i="3"/>
  <c r="AD148" i="3" s="1"/>
  <c r="R20" i="3" s="1"/>
  <c r="AC152" i="3"/>
  <c r="AD152" i="3" s="1"/>
  <c r="V20" i="3" s="1"/>
  <c r="AC156" i="3"/>
  <c r="AD156" i="3" s="1"/>
  <c r="Z20" i="3" s="1"/>
  <c r="AC160" i="3"/>
  <c r="AD160" i="3" s="1"/>
  <c r="AC164" i="3"/>
  <c r="AD164" i="3" s="1"/>
  <c r="AH20" i="3" s="1"/>
  <c r="AC168" i="3"/>
  <c r="AD168" i="3" s="1"/>
  <c r="AL20" i="3" s="1"/>
  <c r="AC172" i="3"/>
  <c r="AD172" i="3" s="1"/>
  <c r="AP20" i="3" s="1"/>
  <c r="AC176" i="3"/>
  <c r="AD176" i="3" s="1"/>
  <c r="AT20" i="3" s="1"/>
  <c r="AC180" i="3"/>
  <c r="AD180" i="3" s="1"/>
  <c r="AC184" i="3"/>
  <c r="AD184" i="3" s="1"/>
  <c r="BB20" i="3" s="1"/>
  <c r="AC188" i="3"/>
  <c r="AD188" i="3" s="1"/>
  <c r="BF20" i="3" s="1"/>
  <c r="AE141" i="3" l="1" a="1"/>
  <c r="AD20" i="3"/>
  <c r="AW20" i="3"/>
  <c r="AX20" i="3"/>
  <c r="AF20" i="3"/>
  <c r="AI20" i="3"/>
  <c r="AN20" i="3"/>
  <c r="AM20" i="3"/>
  <c r="AO20" i="3"/>
  <c r="AG20" i="3"/>
  <c r="BD20" i="3"/>
  <c r="AY20" i="3"/>
  <c r="AV20" i="3"/>
  <c r="AE20" i="3"/>
  <c r="BA20" i="3"/>
  <c r="AR20" i="3"/>
  <c r="K20" i="3"/>
  <c r="AE141" i="3" l="1"/>
  <c r="AF141" i="3" s="1"/>
  <c r="K19" i="3" s="1"/>
  <c r="AE145" i="3"/>
  <c r="AF145" i="3" s="1"/>
  <c r="O19" i="3" s="1"/>
  <c r="AE149" i="3"/>
  <c r="AF149" i="3" s="1"/>
  <c r="S19" i="3" s="1"/>
  <c r="AE153" i="3"/>
  <c r="AF153" i="3" s="1"/>
  <c r="W19" i="3" s="1"/>
  <c r="AE157" i="3"/>
  <c r="AF157" i="3" s="1"/>
  <c r="AA19" i="3" s="1"/>
  <c r="AE161" i="3"/>
  <c r="AF161" i="3" s="1"/>
  <c r="AE19" i="3" s="1"/>
  <c r="AE165" i="3"/>
  <c r="AF165" i="3" s="1"/>
  <c r="AI19" i="3" s="1"/>
  <c r="AE169" i="3"/>
  <c r="AF169" i="3" s="1"/>
  <c r="AM19" i="3" s="1"/>
  <c r="AE173" i="3"/>
  <c r="AF173" i="3" s="1"/>
  <c r="AQ19" i="3" s="1"/>
  <c r="AE177" i="3"/>
  <c r="AF177" i="3" s="1"/>
  <c r="AU19" i="3" s="1"/>
  <c r="AE181" i="3"/>
  <c r="AF181" i="3" s="1"/>
  <c r="AY19" i="3" s="1"/>
  <c r="AE185" i="3"/>
  <c r="AF185" i="3" s="1"/>
  <c r="BC19" i="3" s="1"/>
  <c r="AE189" i="3"/>
  <c r="AF189" i="3" s="1"/>
  <c r="BG19" i="3" s="1"/>
  <c r="AE144" i="3"/>
  <c r="AF144" i="3" s="1"/>
  <c r="N19" i="3" s="1"/>
  <c r="AE152" i="3"/>
  <c r="AF152" i="3" s="1"/>
  <c r="V19" i="3" s="1"/>
  <c r="AE156" i="3"/>
  <c r="AF156" i="3" s="1"/>
  <c r="Z19" i="3" s="1"/>
  <c r="AE160" i="3"/>
  <c r="AF160" i="3" s="1"/>
  <c r="AD19" i="3" s="1"/>
  <c r="AE164" i="3"/>
  <c r="AF164" i="3" s="1"/>
  <c r="AH19" i="3" s="1"/>
  <c r="AE172" i="3"/>
  <c r="AF172" i="3" s="1"/>
  <c r="AP19" i="3" s="1"/>
  <c r="AE176" i="3"/>
  <c r="AF176" i="3" s="1"/>
  <c r="AT19" i="3" s="1"/>
  <c r="AE184" i="3"/>
  <c r="AF184" i="3" s="1"/>
  <c r="BB19" i="3" s="1"/>
  <c r="AE188" i="3"/>
  <c r="AF188" i="3" s="1"/>
  <c r="BF19" i="3" s="1"/>
  <c r="AE142" i="3"/>
  <c r="AF142" i="3" s="1"/>
  <c r="L19" i="3" s="1"/>
  <c r="AE146" i="3"/>
  <c r="AF146" i="3" s="1"/>
  <c r="P19" i="3" s="1"/>
  <c r="AE150" i="3"/>
  <c r="AF150" i="3" s="1"/>
  <c r="T19" i="3" s="1"/>
  <c r="B35" i="3" s="1"/>
  <c r="AE154" i="3"/>
  <c r="AE158" i="3"/>
  <c r="AF158" i="3" s="1"/>
  <c r="AB19" i="3" s="1"/>
  <c r="AE162" i="3"/>
  <c r="AF162" i="3" s="1"/>
  <c r="AF19" i="3" s="1"/>
  <c r="AE166" i="3"/>
  <c r="AF166" i="3" s="1"/>
  <c r="AJ19" i="3" s="1"/>
  <c r="AE170" i="3"/>
  <c r="AF170" i="3" s="1"/>
  <c r="AN19" i="3" s="1"/>
  <c r="AE174" i="3"/>
  <c r="AF174" i="3" s="1"/>
  <c r="AR19" i="3" s="1"/>
  <c r="AE178" i="3"/>
  <c r="AF178" i="3" s="1"/>
  <c r="AV19" i="3" s="1"/>
  <c r="AE182" i="3"/>
  <c r="AF182" i="3" s="1"/>
  <c r="AZ19" i="3" s="1"/>
  <c r="AE186" i="3"/>
  <c r="AF186" i="3" s="1"/>
  <c r="BD19" i="3" s="1"/>
  <c r="AE143" i="3"/>
  <c r="AF143" i="3" s="1"/>
  <c r="M19" i="3" s="1"/>
  <c r="AE147" i="3"/>
  <c r="AF147" i="3" s="1"/>
  <c r="Q19" i="3" s="1"/>
  <c r="AE151" i="3"/>
  <c r="AF151" i="3" s="1"/>
  <c r="U19" i="3" s="1"/>
  <c r="AE155" i="3"/>
  <c r="AF155" i="3" s="1"/>
  <c r="Y19" i="3" s="1"/>
  <c r="AE159" i="3"/>
  <c r="AF159" i="3" s="1"/>
  <c r="AC19" i="3" s="1"/>
  <c r="AE163" i="3"/>
  <c r="AF163" i="3" s="1"/>
  <c r="AG19" i="3" s="1"/>
  <c r="AE167" i="3"/>
  <c r="AF167" i="3" s="1"/>
  <c r="AK19" i="3" s="1"/>
  <c r="AE171" i="3"/>
  <c r="AF171" i="3" s="1"/>
  <c r="AO19" i="3" s="1"/>
  <c r="AE175" i="3"/>
  <c r="AF175" i="3" s="1"/>
  <c r="AS19" i="3" s="1"/>
  <c r="AE179" i="3"/>
  <c r="AF179" i="3" s="1"/>
  <c r="AW19" i="3" s="1"/>
  <c r="AE183" i="3"/>
  <c r="AF183" i="3" s="1"/>
  <c r="BA19" i="3" s="1"/>
  <c r="AE187" i="3"/>
  <c r="AF187" i="3" s="1"/>
  <c r="BE19" i="3" s="1"/>
  <c r="AE148" i="3"/>
  <c r="AF148" i="3" s="1"/>
  <c r="R19" i="3" s="1"/>
  <c r="AE168" i="3"/>
  <c r="AF168" i="3" s="1"/>
  <c r="AL19" i="3" s="1"/>
  <c r="AE180" i="3"/>
  <c r="AF180" i="3" s="1"/>
  <c r="AX19" i="3" s="1"/>
  <c r="AF154" i="3"/>
  <c r="X19" i="3" s="1"/>
  <c r="B44" i="3" l="1"/>
  <c r="B45" i="3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Jeffrey Chong Hong Seng</author>
  </authors>
  <commentList>
    <comment ref="A5" authorId="0" shapeId="0" xr:uid="{98D18B1F-E72D-4659-BEE4-7A3FC01302F2}">
      <text>
        <r>
          <rPr>
            <b/>
            <sz val="9"/>
            <color indexed="81"/>
            <rFont val="Tahoma"/>
            <family val="2"/>
          </rPr>
          <t>Jeffrey Chong Hong Seng:</t>
        </r>
        <r>
          <rPr>
            <sz val="9"/>
            <color indexed="81"/>
            <rFont val="Tahoma"/>
            <family val="2"/>
          </rPr>
          <t xml:space="preserve">
ATM Vol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<sst xmlns="http://schemas.openxmlformats.org/spreadsheetml/2006/main" count="523" uniqueCount="137">
  <si>
    <t>Strike</t>
  </si>
  <si>
    <t>a</t>
  </si>
  <si>
    <t>b</t>
  </si>
  <si>
    <t>c</t>
  </si>
  <si>
    <t>dt</t>
  </si>
  <si>
    <t>j</t>
  </si>
  <si>
    <t xml:space="preserve"> </t>
  </si>
  <si>
    <t>T</t>
  </si>
  <si>
    <t>i</t>
  </si>
  <si>
    <t>S Max</t>
  </si>
  <si>
    <t>ds</t>
  </si>
  <si>
    <t>Months</t>
  </si>
  <si>
    <t>C/P</t>
  </si>
  <si>
    <t>P</t>
  </si>
  <si>
    <t>q</t>
  </si>
  <si>
    <t>r</t>
  </si>
  <si>
    <t>Vol</t>
  </si>
  <si>
    <t>0.5*(r-q)*dt</t>
  </si>
  <si>
    <t>0.5*vol*vol*dt</t>
  </si>
  <si>
    <t>f</t>
  </si>
  <si>
    <t>Check Max</t>
  </si>
  <si>
    <t>Inverse</t>
  </si>
  <si>
    <t>Current Spot</t>
  </si>
  <si>
    <t>Option Premium</t>
  </si>
  <si>
    <t>To derive a, b, c, we use forward finite differencing for t</t>
  </si>
  <si>
    <t>central finite differencing for S</t>
  </si>
  <si>
    <t>Leg 1</t>
  </si>
  <si>
    <t>Asset</t>
  </si>
  <si>
    <t>Cont</t>
  </si>
  <si>
    <t>Style</t>
  </si>
  <si>
    <t>American</t>
  </si>
  <si>
    <t>Vanilla</t>
  </si>
  <si>
    <t>Vega</t>
  </si>
  <si>
    <t>Direction</t>
  </si>
  <si>
    <t>Call/Put</t>
  </si>
  <si>
    <t>Expiry</t>
  </si>
  <si>
    <t>Model</t>
  </si>
  <si>
    <t>Results</t>
  </si>
  <si>
    <t>Smin</t>
  </si>
  <si>
    <t>=$B$23*K15+$B$20</t>
  </si>
  <si>
    <t>=MMULT($K$86:$BG$134,$L$141:$L$189)</t>
  </si>
  <si>
    <t>Forward</t>
  </si>
  <si>
    <t>Buy/Sell</t>
  </si>
  <si>
    <t>Split View</t>
  </si>
  <si>
    <t>Strategy 1</t>
  </si>
  <si>
    <t>Price Date</t>
  </si>
  <si>
    <t>More Market Data</t>
  </si>
  <si>
    <t>Contract Type</t>
  </si>
  <si>
    <t>Fixed</t>
  </si>
  <si>
    <t>Forward curv</t>
  </si>
  <si>
    <t>Product</t>
  </si>
  <si>
    <t>Broker</t>
  </si>
  <si>
    <t>Edit</t>
  </si>
  <si>
    <t>Greeks</t>
  </si>
  <si>
    <t>Quote</t>
  </si>
  <si>
    <t>Gamma</t>
  </si>
  <si>
    <t>Physical</t>
  </si>
  <si>
    <t>Delivery</t>
  </si>
  <si>
    <t>Converted</t>
  </si>
  <si>
    <t>Black PDE</t>
  </si>
  <si>
    <t>Price</t>
  </si>
  <si>
    <t>Premium</t>
  </si>
  <si>
    <t>Prem Date</t>
  </si>
  <si>
    <t>Delta</t>
  </si>
  <si>
    <t>Sticky Delta</t>
  </si>
  <si>
    <t>Hedge</t>
  </si>
  <si>
    <t>ABS DIFF</t>
  </si>
  <si>
    <t>REL DIFF</t>
  </si>
  <si>
    <t> Calc</t>
  </si>
  <si>
    <t> Solver (Premium)</t>
  </si>
  <si>
    <t> Load</t>
  </si>
  <si>
    <t> Trade</t>
  </si>
  <si>
    <t> Send to TR</t>
  </si>
  <si>
    <t>Sell</t>
  </si>
  <si>
    <t>Client sells</t>
  </si>
  <si>
    <t>Put</t>
  </si>
  <si>
    <t>Details</t>
  </si>
  <si>
    <t> Save</t>
  </si>
  <si>
    <t>OVML COX6 45.45C 09/27/16 N1K</t>
  </si>
  <si>
    <t>COX6</t>
  </si>
  <si>
    <t>Bloomberg</t>
  </si>
  <si>
    <t>Crude Oil, Brent</t>
  </si>
  <si>
    <t>USD Depo</t>
  </si>
  <si>
    <t>0.380...%</t>
  </si>
  <si>
    <t>ICE</t>
  </si>
  <si>
    <t>USD</t>
  </si>
  <si>
    <t>Unit barrel</t>
  </si>
  <si>
    <t>barrel</t>
  </si>
  <si>
    <t> Asset</t>
  </si>
  <si>
    <t> Actions</t>
  </si>
  <si>
    <t> Products</t>
  </si>
  <si>
    <t> Views</t>
  </si>
  <si>
    <t> Settings</t>
  </si>
  <si>
    <t>Option Valuation FX</t>
  </si>
  <si>
    <t>OVML COX6 50.00P 09/27/16 N1K</t>
  </si>
  <si>
    <t>10.01% ITMF</t>
  </si>
  <si>
    <t>Maturity In Years</t>
  </si>
  <si>
    <t>Time Steps</t>
  </si>
  <si>
    <t>Vol (%)</t>
  </si>
  <si>
    <t>S</t>
  </si>
  <si>
    <t>Std Dev at Ends</t>
  </si>
  <si>
    <t>S_Max</t>
  </si>
  <si>
    <t>S_Min</t>
  </si>
  <si>
    <t>Spot Steps</t>
  </si>
  <si>
    <t xml:space="preserve">                           Time
Spot</t>
  </si>
  <si>
    <t>IC</t>
  </si>
  <si>
    <t>x</t>
  </si>
  <si>
    <t>Beta</t>
  </si>
  <si>
    <t>Alpha</t>
  </si>
  <si>
    <t xml:space="preserve">div </t>
  </si>
  <si>
    <t>Black-Scholes Equation and Heat Equation (georgiasouthern.edu)</t>
  </si>
  <si>
    <t>k</t>
  </si>
  <si>
    <t>dx</t>
  </si>
  <si>
    <t>dt/dx^2</t>
  </si>
  <si>
    <t>Ax = b</t>
  </si>
  <si>
    <t>V</t>
  </si>
  <si>
    <t>v(x,t)</t>
  </si>
  <si>
    <t>Implemented Based on Boundary Condition and Transformed PDE in Link Below</t>
  </si>
  <si>
    <t>s</t>
  </si>
  <si>
    <t>dt/dx2</t>
  </si>
  <si>
    <t>Tau</t>
  </si>
  <si>
    <t>BS</t>
  </si>
  <si>
    <t>CF</t>
  </si>
  <si>
    <t>BS76</t>
  </si>
  <si>
    <t>PDE</t>
  </si>
  <si>
    <t>Diff/S</t>
  </si>
  <si>
    <t>X:\GROUP MARKET RISK\QUANTS\Books &amp; Guidelines\Numerical_analysis.pdf</t>
  </si>
  <si>
    <t>Implementation of Forward</t>
  </si>
  <si>
    <t>Implemented</t>
  </si>
  <si>
    <t>a^2 = 1 in BS Heat equation case hence</t>
  </si>
  <si>
    <t>nmanda = k/h^2</t>
  </si>
  <si>
    <t>k = dt</t>
  </si>
  <si>
    <t>h = dx</t>
  </si>
  <si>
    <t xml:space="preserve">Hence vector of next time step can be calculated explicitly. </t>
  </si>
  <si>
    <t>**First 'next time step' vector depends only on initial condition specified</t>
  </si>
  <si>
    <t>Iterate in forward direction until option maturity</t>
  </si>
  <si>
    <t>Convert back to V(S,T) from U(x,t)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</si>
</sst>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"/>
    <numFmt numFmtId="165" formatCode="#,##0.00000"/>
    <numFmt numFmtId="166" formatCode="0.00000"/>
    <numFmt numFmtId="176" formatCode="0.000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0" borderId="0" xfId="0" applyFont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6" borderId="0" xfId="0" applyFill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0" borderId="0" xfId="0" applyFill="1"/>
    <xf numFmtId="4" fontId="0" fillId="3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0" borderId="0" xfId="0" applyFont="1"/>
    <xf numFmtId="164" fontId="0" fillId="8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7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/>
    <xf numFmtId="0" fontId="0" fillId="0" borderId="0" xfId="0" applyNumberFormat="1"/>
    <xf numFmtId="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0" borderId="0" xfId="0" applyFont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6" borderId="0" xfId="0" applyFill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0" borderId="0" xfId="0" applyFill="1"/>
    <xf numFmtId="4" fontId="0" fillId="3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0" borderId="0" xfId="0" applyFont="1"/>
    <xf numFmtId="0" fontId="1" fillId="0" borderId="0" xfId="0" applyFont="1" applyFill="1"/>
    <xf numFmtId="164" fontId="0" fillId="8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7" borderId="0" xfId="0" applyNumberFormat="1" applyFill="1" applyAlignment="1">
      <alignment horizontal="center"/>
    </xf>
    <xf numFmtId="4" fontId="0" fillId="0" borderId="0" xfId="0" applyNumberFormat="1" applyFill="1"/>
    <xf numFmtId="0" fontId="0" fillId="2" borderId="0" xfId="0" quotePrefix="1" applyFill="1" applyAlignment="1">
      <alignment horizontal="center"/>
    </xf>
    <xf numFmtId="0" fontId="0" fillId="0" borderId="0" xfId="0"/>
    <xf numFmtId="0" fontId="0" fillId="10" borderId="0" xfId="0" applyFill="1" applyAlignment="1">
      <alignment horizontal="center"/>
    </xf>
    <xf numFmtId="0" fontId="0" fillId="0" borderId="0" xfId="0" quotePrefix="1"/>
    <xf numFmtId="0" fontId="0" fillId="0" borderId="0" xfId="0"/>
    <xf numFmtId="4" fontId="0" fillId="0" borderId="0" xfId="0" applyNumberFormat="1"/>
    <xf numFmtId="10" fontId="0" fillId="0" borderId="0" xfId="0" applyNumberFormat="1"/>
    <xf numFmtId="4" fontId="0" fillId="11" borderId="0" xfId="0" applyNumberFormat="1" applyFill="1" applyAlignment="1">
      <alignment horizontal="center"/>
    </xf>
    <xf numFmtId="0" fontId="0" fillId="11" borderId="0" xfId="0" applyFill="1"/>
    <xf numFmtId="4" fontId="2" fillId="9" borderId="0" xfId="0" applyNumberFormat="1" applyFont="1" applyFill="1" applyAlignment="1">
      <alignment horizontal="center"/>
    </xf>
    <xf numFmtId="0" fontId="2" fillId="9" borderId="0" xfId="0" applyFont="1" applyFill="1"/>
    <xf numFmtId="4" fontId="0" fillId="9" borderId="0" xfId="0" applyNumberFormat="1" applyFill="1"/>
    <xf numFmtId="10" fontId="0" fillId="2" borderId="0" xfId="0" applyNumberFormat="1" applyFill="1"/>
    <xf numFmtId="0" fontId="0" fillId="0" borderId="0" xfId="0"/>
    <xf numFmtId="10" fontId="0" fillId="9" borderId="0" xfId="0" applyNumberFormat="1" applyFill="1"/>
    <xf numFmtId="0" fontId="0" fillId="0" borderId="0" xfId="0"/>
    <xf numFmtId="0" fontId="0" fillId="2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0" borderId="0" xfId="0"/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20" fontId="0" fillId="0" borderId="0" xfId="0" applyNumberFormat="1"/>
    <xf numFmtId="10" fontId="0" fillId="0" borderId="0" xfId="0" applyNumberFormat="1"/>
    <xf numFmtId="16" fontId="0" fillId="0" borderId="0" xfId="0" applyNumberFormat="1"/>
    <xf numFmtId="4" fontId="0" fillId="0" borderId="0" xfId="0" applyNumberFormat="1"/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>
      <alignment horizontal="left"/>
    </xf>
    <xf numFmtId="9" fontId="0" fillId="9" borderId="0" xfId="0" applyNumberFormat="1" applyFill="1" applyAlignment="1">
      <alignment horizontal="center" vertical="center"/>
    </xf>
    <xf numFmtId="0" fontId="0" fillId="2" borderId="0" xfId="0" applyFill="1"/>
    <xf numFmtId="0" fontId="0" fillId="12" borderId="0" xfId="0" applyFill="1"/>
    <xf numFmtId="0" fontId="0" fillId="12" borderId="0" xfId="0" applyFill="1" applyAlignment="1">
      <alignment horizontal="center"/>
    </xf>
    <xf numFmtId="0" fontId="6" fillId="0" borderId="0" xfId="2"/>
    <xf numFmtId="0" fontId="0" fillId="13" borderId="0" xfId="0" applyFill="1"/>
    <xf numFmtId="0" fontId="0" fillId="13" borderId="0" xfId="0" applyFill="1" applyAlignment="1">
      <alignment horizontal="center"/>
    </xf>
    <xf numFmtId="9" fontId="0" fillId="9" borderId="0" xfId="1" applyFont="1" applyFill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14" borderId="0" xfId="0" applyFill="1" applyAlignment="1">
      <alignment horizontal="center"/>
    </xf>
    <xf numFmtId="0" fontId="0" fillId="14" borderId="0" xfId="0" applyFill="1"/>
    <xf numFmtId="0" fontId="0" fillId="15" borderId="0" xfId="0" applyFill="1"/>
    <xf numFmtId="0" fontId="0" fillId="17" borderId="0" xfId="0" applyFill="1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76" fontId="0" fillId="9" borderId="0" xfId="1" applyNumberFormat="1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10" fontId="0" fillId="0" borderId="0" xfId="1" applyNumberFormat="1" applyFon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315633</xdr:colOff>
      <xdr:row>14</xdr:row>
      <xdr:rowOff>28238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611908" cy="2695238"/>
        </a:xfrm>
        <a:prstGeom prst="rect">
          <a:avLst/>
        </a:prstGeom>
      </xdr:spPr>
    </xdr:pic>
    <xdr:clientData/>
  </xdr:twoCellAnchor>
  <xdr:twoCellAnchor editAs="oneCell">
    <xdr:from>
      <xdr:col>13</xdr:col>
      <xdr:colOff>523876</xdr:colOff>
      <xdr:row>0</xdr:row>
      <xdr:rowOff>178594</xdr:rowOff>
    </xdr:from>
    <xdr:to>
      <xdr:col>18</xdr:col>
      <xdr:colOff>351977</xdr:colOff>
      <xdr:row>12</xdr:row>
      <xdr:rowOff>168785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1" y="178594"/>
          <a:ext cx="3590476" cy="2276191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38</xdr:col>
      <xdr:colOff>115924</xdr:colOff>
      <xdr:row>35</xdr:row>
      <xdr:rowOff>27762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317325" y="190500"/>
          <a:ext cx="6040474" cy="6504762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21</xdr:col>
      <xdr:colOff>756914</xdr:colOff>
      <xdr:row>4</xdr:row>
      <xdr:rowOff>47548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35025" y="190500"/>
          <a:ext cx="2585714" cy="61904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20</xdr:col>
      <xdr:colOff>673695</xdr:colOff>
      <xdr:row>13</xdr:row>
      <xdr:rowOff>171381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35025" y="2095500"/>
          <a:ext cx="1588095" cy="552381"/>
        </a:xfrm>
        <a:prstGeom prst="rect">
          <a:avLst/>
        </a:prstGeom>
      </xdr:spPr>
    </xdr:pic>
    <xdr:clientData/>
  </xdr:twoCellAnchor>
  <xdr:twoCellAnchor editAs="oneCell">
    <xdr:from>
      <xdr:col>19</xdr:col>
      <xdr:colOff>59531</xdr:colOff>
      <xdr:row>6</xdr:row>
      <xdr:rowOff>23813</xdr:rowOff>
    </xdr:from>
    <xdr:to>
      <xdr:col>20</xdr:col>
      <xdr:colOff>524479</xdr:colOff>
      <xdr:row>8</xdr:row>
      <xdr:rowOff>130969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594556" y="1166813"/>
          <a:ext cx="1379348" cy="4881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296583</xdr:colOff>
      <xdr:row>14</xdr:row>
      <xdr:rowOff>28238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90477" cy="2695238"/>
        </a:xfrm>
        <a:prstGeom prst="rect">
          <a:avLst/>
        </a:prstGeom>
      </xdr:spPr>
    </xdr:pic>
    <xdr:clientData/>
  </xdr:twoCellAnchor>
  <xdr:twoCellAnchor editAs="oneCell">
    <xdr:from>
      <xdr:col>13</xdr:col>
      <xdr:colOff>523876</xdr:colOff>
      <xdr:row>0</xdr:row>
      <xdr:rowOff>178594</xdr:rowOff>
    </xdr:from>
    <xdr:to>
      <xdr:col>16</xdr:col>
      <xdr:colOff>428177</xdr:colOff>
      <xdr:row>12</xdr:row>
      <xdr:rowOff>168785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84470" y="178594"/>
          <a:ext cx="3590476" cy="2276191"/>
        </a:xfrm>
        <a:prstGeom prst="rect">
          <a:avLst/>
        </a:prstGeom>
      </xdr:spPr>
    </xdr:pic>
    <xdr:clientData/>
  </xdr:twoCellAnchor>
  <xdr:twoCellAnchor editAs="oneCell">
    <xdr:from>
      <xdr:col>60</xdr:col>
      <xdr:colOff>565150</xdr:colOff>
      <xdr:row>84</xdr:row>
      <xdr:rowOff>25400</xdr:rowOff>
    </xdr:from>
    <xdr:to>
      <xdr:col>70</xdr:col>
      <xdr:colOff>528674</xdr:colOff>
      <xdr:row>118</xdr:row>
      <xdr:rowOff>53162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70700" y="16027400"/>
          <a:ext cx="6059524" cy="6504762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20</xdr:col>
      <xdr:colOff>1214114</xdr:colOff>
      <xdr:row>4</xdr:row>
      <xdr:rowOff>47548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13594" y="190500"/>
          <a:ext cx="2590476" cy="61904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20</xdr:col>
      <xdr:colOff>216495</xdr:colOff>
      <xdr:row>13</xdr:row>
      <xdr:rowOff>171381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13594" y="2095500"/>
          <a:ext cx="1590476" cy="552381"/>
        </a:xfrm>
        <a:prstGeom prst="rect">
          <a:avLst/>
        </a:prstGeom>
      </xdr:spPr>
    </xdr:pic>
    <xdr:clientData/>
  </xdr:twoCellAnchor>
  <xdr:twoCellAnchor editAs="oneCell">
    <xdr:from>
      <xdr:col>19</xdr:col>
      <xdr:colOff>59531</xdr:colOff>
      <xdr:row>6</xdr:row>
      <xdr:rowOff>23813</xdr:rowOff>
    </xdr:from>
    <xdr:to>
      <xdr:col>20</xdr:col>
      <xdr:colOff>67279</xdr:colOff>
      <xdr:row>8</xdr:row>
      <xdr:rowOff>130969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573125" y="1166813"/>
          <a:ext cx="1381729" cy="4881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0</xdr:row>
      <xdr:rowOff>0</xdr:rowOff>
    </xdr:from>
    <xdr:to>
      <xdr:col>27</xdr:col>
      <xdr:colOff>304800</xdr:colOff>
      <xdr:row>27</xdr:row>
      <xdr:rowOff>114300</xdr:rowOff>
    </xdr:to>
    <xdr:pic>
      <xdr:nvPicPr>
        <xdr:cNvPr id="5" name="Picture 4" descr="C:\Users\10021999B\AppData\Local\Microsoft\Windows\Temporary Internet Files\Content.Outlook\H5TROTQY\9.TRADE (2)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0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1</xdr:row>
      <xdr:rowOff>85725</xdr:rowOff>
    </xdr:from>
    <xdr:to>
      <xdr:col>11</xdr:col>
      <xdr:colOff>266456</xdr:colOff>
      <xdr:row>5</xdr:row>
      <xdr:rowOff>190392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D00A646-D0CF-42D6-9830-36CDAF261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276225"/>
          <a:ext cx="1952381" cy="8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7</xdr:row>
      <xdr:rowOff>0</xdr:rowOff>
    </xdr:from>
    <xdr:to>
      <xdr:col>2</xdr:col>
      <xdr:colOff>428446</xdr:colOff>
      <xdr:row>9</xdr:row>
      <xdr:rowOff>47571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3DCC6A-F580-4610-AF86-02DF41CBD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333500"/>
          <a:ext cx="1428571" cy="428571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</xdr:colOff>
      <xdr:row>6</xdr:row>
      <xdr:rowOff>57150</xdr:rowOff>
    </xdr:from>
    <xdr:to>
      <xdr:col>6</xdr:col>
      <xdr:colOff>295096</xdr:colOff>
      <xdr:row>10</xdr:row>
      <xdr:rowOff>28483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9930829-A7BA-48AE-BD42-2E869E6DC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24125" y="1200150"/>
          <a:ext cx="1428571" cy="733333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7</xdr:row>
      <xdr:rowOff>85725</xdr:rowOff>
    </xdr:from>
    <xdr:to>
      <xdr:col>3</xdr:col>
      <xdr:colOff>514350</xdr:colOff>
      <xdr:row>8</xdr:row>
      <xdr:rowOff>171450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6F2CD9E8-8742-46F3-9CE7-2B182691282E}"/>
            </a:ext>
          </a:extLst>
        </xdr:cNvPr>
        <xdr:cNvSpPr/>
      </xdr:nvSpPr>
      <xdr:spPr>
        <a:xfrm>
          <a:off x="1914525" y="1419225"/>
          <a:ext cx="428625" cy="276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8</xdr:col>
      <xdr:colOff>57150</xdr:colOff>
      <xdr:row>8</xdr:row>
      <xdr:rowOff>9525</xdr:rowOff>
    </xdr:from>
    <xdr:to>
      <xdr:col>11</xdr:col>
      <xdr:colOff>75969</xdr:colOff>
      <xdr:row>9</xdr:row>
      <xdr:rowOff>123787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3DCDEAF-2BB2-46BD-85BD-06807EE8F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33950" y="1533525"/>
          <a:ext cx="1847619" cy="304762"/>
        </a:xfrm>
        <a:prstGeom prst="rect">
          <a:avLst/>
        </a:prstGeom>
      </xdr:spPr>
    </xdr:pic>
    <xdr:clientData/>
  </xdr:twoCellAnchor>
  <xdr:twoCellAnchor>
    <xdr:from>
      <xdr:col>6</xdr:col>
      <xdr:colOff>485775</xdr:colOff>
      <xdr:row>7</xdr:row>
      <xdr:rowOff>123825</xdr:rowOff>
    </xdr:from>
    <xdr:to>
      <xdr:col>7</xdr:col>
      <xdr:colOff>304800</xdr:colOff>
      <xdr:row>9</xdr:row>
      <xdr:rowOff>19050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61615ECE-65DE-40CC-92C5-9F5EEFB0BCA2}"/>
            </a:ext>
          </a:extLst>
        </xdr:cNvPr>
        <xdr:cNvSpPr/>
      </xdr:nvSpPr>
      <xdr:spPr>
        <a:xfrm>
          <a:off x="4143375" y="1457325"/>
          <a:ext cx="428625" cy="276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12</xdr:col>
      <xdr:colOff>114300</xdr:colOff>
      <xdr:row>7</xdr:row>
      <xdr:rowOff>114300</xdr:rowOff>
    </xdr:from>
    <xdr:to>
      <xdr:col>12</xdr:col>
      <xdr:colOff>542925</xdr:colOff>
      <xdr:row>9</xdr:row>
      <xdr:rowOff>9525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37AAB021-8406-4561-BC8F-DDBC8F3DB3C7}"/>
            </a:ext>
          </a:extLst>
        </xdr:cNvPr>
        <xdr:cNvSpPr/>
      </xdr:nvSpPr>
      <xdr:spPr>
        <a:xfrm>
          <a:off x="7429500" y="1447800"/>
          <a:ext cx="428625" cy="276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13</xdr:col>
      <xdr:colOff>76200</xdr:colOff>
      <xdr:row>8</xdr:row>
      <xdr:rowOff>85725</xdr:rowOff>
    </xdr:from>
    <xdr:to>
      <xdr:col>19</xdr:col>
      <xdr:colOff>323850</xdr:colOff>
      <xdr:row>11</xdr:row>
      <xdr:rowOff>133350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E4D5A51-1485-448B-B06E-BE3F76A7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01000" y="1609725"/>
          <a:ext cx="3905250" cy="619125"/>
        </a:xfrm>
        <a:prstGeom prst="rect">
          <a:avLst/>
        </a:prstGeom>
      </xdr:spPr>
    </xdr:pic>
    <xdr:clientData/>
  </xdr:twoCellAnchor>
  <xdr:twoCellAnchor>
    <xdr:from>
      <xdr:col>16</xdr:col>
      <xdr:colOff>161925</xdr:colOff>
      <xdr:row>12</xdr:row>
      <xdr:rowOff>66675</xdr:rowOff>
    </xdr:from>
    <xdr:to>
      <xdr:col>16</xdr:col>
      <xdr:colOff>438150</xdr:colOff>
      <xdr:row>14</xdr:row>
      <xdr:rowOff>114300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17980288-B5B5-4BE6-B9CA-214D3ABFBAA2}"/>
            </a:ext>
          </a:extLst>
        </xdr:cNvPr>
        <xdr:cNvSpPr/>
      </xdr:nvSpPr>
      <xdr:spPr>
        <a:xfrm rot="5400000">
          <a:off x="9839325" y="2428875"/>
          <a:ext cx="428625" cy="276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11</xdr:col>
      <xdr:colOff>600075</xdr:colOff>
      <xdr:row>14</xdr:row>
      <xdr:rowOff>161925</xdr:rowOff>
    </xdr:from>
    <xdr:to>
      <xdr:col>12</xdr:col>
      <xdr:colOff>419100</xdr:colOff>
      <xdr:row>16</xdr:row>
      <xdr:rowOff>57150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307E73D2-D038-48F2-8891-5FF644E30F48}"/>
            </a:ext>
          </a:extLst>
        </xdr:cNvPr>
        <xdr:cNvSpPr/>
      </xdr:nvSpPr>
      <xdr:spPr>
        <a:xfrm rot="10800000">
          <a:off x="7305675" y="2828925"/>
          <a:ext cx="428625" cy="276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7</xdr:col>
      <xdr:colOff>161925</xdr:colOff>
      <xdr:row>16</xdr:row>
      <xdr:rowOff>28575</xdr:rowOff>
    </xdr:from>
    <xdr:to>
      <xdr:col>11</xdr:col>
      <xdr:colOff>371144</xdr:colOff>
      <xdr:row>18</xdr:row>
      <xdr:rowOff>57099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6EDC493-1BB9-40F1-A47A-7088EA62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29125" y="3076575"/>
          <a:ext cx="2647619" cy="40952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igitalcommons.georgiasouthern.edu/cgi/viewcontent.cgi?article=1247&amp;context=honors-these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6:AP139"/>
  <sheetViews>
    <sheetView topLeftCell="A4" zoomScale="75" zoomScaleNormal="75" workbookViewId="0">
      <selection activeCell="H36" sqref="H36"/>
    </sheetView>
  </sheetViews>
  <sheetFormatPr defaultRowHeight="15" x14ac:dyDescent="0.25"/>
  <cols>
    <col min="1" max="1" width="17.140625" style="26" bestFit="1" customWidth="1"/>
    <col min="2" max="7" width="9.140625" style="25"/>
    <col min="8" max="8" width="12" style="25" bestFit="1" customWidth="1"/>
    <col min="9" max="9" width="13" style="25" bestFit="1" customWidth="1"/>
    <col min="10" max="13" width="9.140625" style="25"/>
    <col min="14" max="14" width="12.7109375" style="25" bestFit="1" customWidth="1"/>
    <col min="15" max="15" width="9.140625" style="25"/>
    <col min="16" max="16" width="7.85546875" style="25" bestFit="1" customWidth="1"/>
    <col min="17" max="17" width="13.7109375" style="25" bestFit="1" customWidth="1"/>
    <col min="18" max="19" width="13" style="25" bestFit="1" customWidth="1"/>
    <col min="20" max="21" width="13.7109375" style="25" bestFit="1" customWidth="1"/>
    <col min="22" max="22" width="13" style="25" bestFit="1" customWidth="1"/>
    <col min="23" max="24" width="13.7109375" style="25" bestFit="1" customWidth="1"/>
    <col min="25" max="25" width="13" style="25" bestFit="1" customWidth="1"/>
    <col min="26" max="27" width="13.7109375" style="25" bestFit="1" customWidth="1"/>
    <col min="28" max="28" width="13" style="25" bestFit="1" customWidth="1"/>
    <col min="29" max="30" width="13.7109375" style="25" bestFit="1" customWidth="1"/>
    <col min="31" max="31" width="13" style="25" bestFit="1" customWidth="1"/>
    <col min="32" max="33" width="13.7109375" style="25" bestFit="1" customWidth="1"/>
    <col min="34" max="35" width="13" style="25" bestFit="1" customWidth="1"/>
    <col min="36" max="36" width="13.7109375" style="25" bestFit="1" customWidth="1"/>
    <col min="37" max="38" width="10.85546875" style="25" bestFit="1" customWidth="1"/>
    <col min="39" max="40" width="9.140625" style="25"/>
    <col min="41" max="41" width="12.7109375" style="25" bestFit="1" customWidth="1"/>
    <col min="42" max="16384" width="9.140625" style="25"/>
  </cols>
  <sheetData>
    <row r="6" spans="20:20" x14ac:dyDescent="0.25">
      <c r="T6" s="25" t="s">
        <v>24</v>
      </c>
    </row>
    <row r="10" spans="20:20" x14ac:dyDescent="0.25">
      <c r="T10" s="25" t="s">
        <v>25</v>
      </c>
    </row>
    <row r="17" spans="1:31" x14ac:dyDescent="0.25">
      <c r="A17" s="26" t="s">
        <v>7</v>
      </c>
      <c r="B17" s="26">
        <v>4.5753424657534243</v>
      </c>
      <c r="I17" s="30" t="s">
        <v>5</v>
      </c>
      <c r="J17" s="30">
        <v>0</v>
      </c>
      <c r="K17" s="30">
        <f>J17+1</f>
        <v>1</v>
      </c>
      <c r="L17" s="30">
        <f t="shared" ref="L17:AD17" si="0">K17+1</f>
        <v>2</v>
      </c>
      <c r="M17" s="30">
        <f t="shared" si="0"/>
        <v>3</v>
      </c>
      <c r="N17" s="30">
        <f t="shared" si="0"/>
        <v>4</v>
      </c>
      <c r="O17" s="30">
        <f t="shared" si="0"/>
        <v>5</v>
      </c>
      <c r="P17" s="30">
        <f t="shared" si="0"/>
        <v>6</v>
      </c>
      <c r="Q17" s="30">
        <f t="shared" si="0"/>
        <v>7</v>
      </c>
      <c r="R17" s="30">
        <f t="shared" si="0"/>
        <v>8</v>
      </c>
      <c r="S17" s="30">
        <f t="shared" si="0"/>
        <v>9</v>
      </c>
      <c r="T17" s="30">
        <f t="shared" si="0"/>
        <v>10</v>
      </c>
      <c r="U17" s="30">
        <f t="shared" si="0"/>
        <v>11</v>
      </c>
      <c r="V17" s="30">
        <f t="shared" si="0"/>
        <v>12</v>
      </c>
      <c r="W17" s="30">
        <f t="shared" si="0"/>
        <v>13</v>
      </c>
      <c r="X17" s="30">
        <f t="shared" si="0"/>
        <v>14</v>
      </c>
      <c r="Y17" s="30">
        <f t="shared" si="0"/>
        <v>15</v>
      </c>
      <c r="Z17" s="30">
        <f t="shared" si="0"/>
        <v>16</v>
      </c>
      <c r="AA17" s="30">
        <f t="shared" si="0"/>
        <v>17</v>
      </c>
      <c r="AB17" s="30">
        <f t="shared" si="0"/>
        <v>18</v>
      </c>
      <c r="AC17" s="30">
        <f t="shared" si="0"/>
        <v>19</v>
      </c>
      <c r="AD17" s="30">
        <f t="shared" si="0"/>
        <v>20</v>
      </c>
      <c r="AE17" s="26"/>
    </row>
    <row r="18" spans="1:31" x14ac:dyDescent="0.25">
      <c r="A18" s="26" t="s">
        <v>8</v>
      </c>
      <c r="B18" s="26">
        <v>10</v>
      </c>
      <c r="G18" s="30" t="s">
        <v>11</v>
      </c>
      <c r="H18" s="30" t="s">
        <v>8</v>
      </c>
      <c r="J18" s="27">
        <f>$B$23*J17</f>
        <v>0</v>
      </c>
      <c r="K18" s="27">
        <f>$B$23*K17</f>
        <v>21.274999999999999</v>
      </c>
      <c r="L18" s="27">
        <f t="shared" ref="L18:AD18" si="1">$B$23*L17</f>
        <v>42.55</v>
      </c>
      <c r="M18" s="27">
        <f t="shared" si="1"/>
        <v>63.824999999999996</v>
      </c>
      <c r="N18" s="27">
        <f t="shared" si="1"/>
        <v>85.1</v>
      </c>
      <c r="O18" s="27">
        <f t="shared" si="1"/>
        <v>106.375</v>
      </c>
      <c r="P18" s="27">
        <f t="shared" si="1"/>
        <v>127.64999999999999</v>
      </c>
      <c r="Q18" s="27">
        <f t="shared" si="1"/>
        <v>148.92499999999998</v>
      </c>
      <c r="R18" s="27">
        <f t="shared" si="1"/>
        <v>170.2</v>
      </c>
      <c r="S18" s="27">
        <f t="shared" si="1"/>
        <v>191.47499999999999</v>
      </c>
      <c r="T18" s="27">
        <f t="shared" si="1"/>
        <v>212.75</v>
      </c>
      <c r="U18" s="27">
        <f>$B$23*U17</f>
        <v>234.02499999999998</v>
      </c>
      <c r="V18" s="27">
        <f t="shared" si="1"/>
        <v>255.29999999999998</v>
      </c>
      <c r="W18" s="27">
        <f t="shared" si="1"/>
        <v>276.57499999999999</v>
      </c>
      <c r="X18" s="27">
        <f t="shared" si="1"/>
        <v>297.84999999999997</v>
      </c>
      <c r="Y18" s="27">
        <f t="shared" si="1"/>
        <v>319.125</v>
      </c>
      <c r="Z18" s="27">
        <f t="shared" si="1"/>
        <v>340.4</v>
      </c>
      <c r="AA18" s="27">
        <f t="shared" si="1"/>
        <v>361.67499999999995</v>
      </c>
      <c r="AB18" s="27">
        <f t="shared" si="1"/>
        <v>382.95</v>
      </c>
      <c r="AC18" s="27">
        <f t="shared" si="1"/>
        <v>404.22499999999997</v>
      </c>
      <c r="AD18" s="27">
        <f t="shared" si="1"/>
        <v>425.5</v>
      </c>
    </row>
    <row r="19" spans="1:31" x14ac:dyDescent="0.25">
      <c r="A19" s="26" t="s">
        <v>4</v>
      </c>
      <c r="B19" s="26">
        <f>B17/B18</f>
        <v>0.45753424657534242</v>
      </c>
      <c r="G19" s="30">
        <f>ROUND(I19*12,1)</f>
        <v>0</v>
      </c>
      <c r="H19" s="30">
        <v>0</v>
      </c>
      <c r="I19" s="27">
        <f>H19*$B$19</f>
        <v>0</v>
      </c>
      <c r="J19" s="29">
        <f>IF($B$25="C",0,$B$26)</f>
        <v>180</v>
      </c>
      <c r="K19" s="45">
        <f ca="1">INDEX($L$77:$AF$95,MATCH(K$17,$I$77:$I$95,0),MATCH($G19,$L$76:$AF$76,0)+1)</f>
        <v>158.72499999999999</v>
      </c>
      <c r="L19" s="45">
        <f t="shared" ref="L19:AA21" ca="1" si="2">INDEX($L$77:$AF$95,MATCH(L$17,$I$77:$I$95,0),MATCH($G19,$L$76:$AF$76,0)+1)</f>
        <v>137.44999999999999</v>
      </c>
      <c r="M19" s="45">
        <f t="shared" ca="1" si="2"/>
        <v>116.17500000000001</v>
      </c>
      <c r="N19" s="45">
        <f t="shared" ca="1" si="2"/>
        <v>94.9</v>
      </c>
      <c r="O19" s="45">
        <f t="shared" ca="1" si="2"/>
        <v>74.776288565615317</v>
      </c>
      <c r="P19" s="45">
        <f t="shared" ca="1" si="2"/>
        <v>58.340247475596477</v>
      </c>
      <c r="Q19" s="45">
        <f t="shared" ca="1" si="2"/>
        <v>45.01282829674664</v>
      </c>
      <c r="R19" s="45">
        <f t="shared" ca="1" si="2"/>
        <v>34.488071818413289</v>
      </c>
      <c r="S19" s="45">
        <f t="shared" ca="1" si="2"/>
        <v>26.338674320539109</v>
      </c>
      <c r="T19" s="46">
        <f ca="1">INDEX($L$77:$AF$95,MATCH(T$17,$I$77:$I$95,0),MATCH($G19,$L$76:$AF$76,0)+1)</f>
        <v>20.105241188614251</v>
      </c>
      <c r="U19" s="45">
        <f t="shared" ca="1" si="2"/>
        <v>15.363833589120006</v>
      </c>
      <c r="V19" s="45">
        <f t="shared" ca="1" si="2"/>
        <v>11.756580096400784</v>
      </c>
      <c r="W19" s="45">
        <f t="shared" ca="1" si="2"/>
        <v>8.9968434574559293</v>
      </c>
      <c r="X19" s="45">
        <f t="shared" ca="1" si="2"/>
        <v>6.8618881439916981</v>
      </c>
      <c r="Y19" s="45">
        <f t="shared" ca="1" si="2"/>
        <v>5.1813763329122295</v>
      </c>
      <c r="Z19" s="45">
        <f t="shared" ca="1" si="2"/>
        <v>3.8258663430754369</v>
      </c>
      <c r="AA19" s="45">
        <f t="shared" ca="1" si="2"/>
        <v>2.6969610424262598</v>
      </c>
      <c r="AB19" s="45">
        <f t="shared" ref="AA19:AC28" ca="1" si="3">INDEX($L$77:$AF$95,MATCH(AB$17,$I$77:$I$95,0),MATCH($G19,$L$76:$AF$76,0)+1)</f>
        <v>1.7194840284522028</v>
      </c>
      <c r="AC19" s="45">
        <f t="shared" ca="1" si="3"/>
        <v>0.83552219427966223</v>
      </c>
      <c r="AD19" s="29">
        <f>IF($B$25="C",$AD$18-$B$26,0)</f>
        <v>0</v>
      </c>
    </row>
    <row r="20" spans="1:31" x14ac:dyDescent="0.25">
      <c r="B20" s="26"/>
      <c r="G20" s="30">
        <f t="shared" ref="G20:G29" si="4">ROUND(I20*12,1)</f>
        <v>5.5</v>
      </c>
      <c r="H20" s="30">
        <f>H19+1</f>
        <v>1</v>
      </c>
      <c r="I20" s="27">
        <f t="shared" ref="I20:I29" si="5">H20*$B$19</f>
        <v>0.45753424657534242</v>
      </c>
      <c r="J20" s="29">
        <f t="shared" ref="J20:J28" si="6">IF($B$25="C",0,$B$26)</f>
        <v>180</v>
      </c>
      <c r="K20" s="45">
        <f ca="1">INDEX($L$77:$AF$95,MATCH(K$17,$I$77:$I$95,0),MATCH($G20,$L$76:$AF$76,0)+1)</f>
        <v>158.72499999999999</v>
      </c>
      <c r="L20" s="45">
        <f t="shared" ca="1" si="2"/>
        <v>137.44999999999999</v>
      </c>
      <c r="M20" s="45">
        <f t="shared" ca="1" si="2"/>
        <v>116.17500000000001</v>
      </c>
      <c r="N20" s="45">
        <f t="shared" ca="1" si="2"/>
        <v>94.9</v>
      </c>
      <c r="O20" s="45">
        <f t="shared" ca="1" si="2"/>
        <v>74.42181989939229</v>
      </c>
      <c r="P20" s="45">
        <f t="shared" ca="1" si="2"/>
        <v>57.580946766578307</v>
      </c>
      <c r="Q20" s="45">
        <f t="shared" ca="1" si="2"/>
        <v>43.890869642773147</v>
      </c>
      <c r="R20" s="45">
        <f t="shared" ca="1" si="2"/>
        <v>33.126707819390745</v>
      </c>
      <c r="S20" s="45">
        <f t="shared" ca="1" si="2"/>
        <v>24.875257962791903</v>
      </c>
      <c r="T20" s="45">
        <f t="shared" ca="1" si="2"/>
        <v>18.652935109385801</v>
      </c>
      <c r="U20" s="45">
        <f t="shared" ca="1" si="2"/>
        <v>14.000298246373267</v>
      </c>
      <c r="V20" s="45">
        <f t="shared" ca="1" si="2"/>
        <v>10.527581120019521</v>
      </c>
      <c r="W20" s="45">
        <f t="shared" ca="1" si="2"/>
        <v>7.9248401357290437</v>
      </c>
      <c r="X20" s="45">
        <f t="shared" ca="1" si="2"/>
        <v>5.9544802021663124</v>
      </c>
      <c r="Y20" s="45">
        <f t="shared" ca="1" si="2"/>
        <v>4.4378253010158177</v>
      </c>
      <c r="Z20" s="45">
        <f t="shared" ca="1" si="2"/>
        <v>3.241517303178298</v>
      </c>
      <c r="AA20" s="45">
        <f t="shared" ca="1" si="3"/>
        <v>2.2659602664524985</v>
      </c>
      <c r="AB20" s="45">
        <f t="shared" ca="1" si="3"/>
        <v>1.4362825658471154</v>
      </c>
      <c r="AC20" s="45">
        <f t="shared" ca="1" si="3"/>
        <v>0.69558066517731909</v>
      </c>
      <c r="AD20" s="29">
        <f t="shared" ref="AD20:AD28" si="7">IF($B$25="C",$AD$18-$B$26,0)</f>
        <v>0</v>
      </c>
    </row>
    <row r="21" spans="1:31" x14ac:dyDescent="0.25">
      <c r="A21" s="26" t="s">
        <v>9</v>
      </c>
      <c r="B21" s="26">
        <v>425.5</v>
      </c>
      <c r="D21" s="25">
        <v>212.75</v>
      </c>
      <c r="E21" s="25">
        <f>D21*4</f>
        <v>851</v>
      </c>
      <c r="G21" s="30">
        <f t="shared" si="4"/>
        <v>11</v>
      </c>
      <c r="H21" s="30">
        <f t="shared" ref="H21:H29" si="8">H20+1</f>
        <v>2</v>
      </c>
      <c r="I21" s="27">
        <f t="shared" si="5"/>
        <v>0.91506849315068484</v>
      </c>
      <c r="J21" s="29">
        <f t="shared" si="6"/>
        <v>180</v>
      </c>
      <c r="K21" s="45">
        <f ca="1">INDEX($L$77:$AF$95,MATCH(K$17,$I$77:$I$95,0),MATCH($G21,$L$76:$AF$76,0)+1)</f>
        <v>158.72499999999999</v>
      </c>
      <c r="L21" s="45">
        <f t="shared" ca="1" si="2"/>
        <v>137.44999999999999</v>
      </c>
      <c r="M21" s="45">
        <f t="shared" ca="1" si="2"/>
        <v>116.17500000000001</v>
      </c>
      <c r="N21" s="45">
        <f t="shared" ca="1" si="2"/>
        <v>94.9</v>
      </c>
      <c r="O21" s="45">
        <f t="shared" ca="1" si="2"/>
        <v>74.101492189811424</v>
      </c>
      <c r="P21" s="45">
        <f t="shared" ca="1" si="2"/>
        <v>56.809684781505581</v>
      </c>
      <c r="Q21" s="45">
        <f t="shared" ca="1" si="2"/>
        <v>42.702723479457866</v>
      </c>
      <c r="R21" s="45">
        <f t="shared" ca="1" si="2"/>
        <v>31.663842541563724</v>
      </c>
      <c r="S21" s="45">
        <f t="shared" ca="1" si="2"/>
        <v>23.302180231402929</v>
      </c>
      <c r="T21" s="45">
        <f t="shared" ca="1" si="2"/>
        <v>17.103895963282017</v>
      </c>
      <c r="U21" s="45">
        <f t="shared" ca="1" si="2"/>
        <v>12.563453324146101</v>
      </c>
      <c r="V21" s="45">
        <f t="shared" ca="1" si="2"/>
        <v>9.2504788719005067</v>
      </c>
      <c r="W21" s="45">
        <f t="shared" ca="1" si="2"/>
        <v>6.8265854885050761</v>
      </c>
      <c r="X21" s="45">
        <f t="shared" ca="1" si="2"/>
        <v>5.0371649954902109</v>
      </c>
      <c r="Y21" s="45">
        <f t="shared" ca="1" si="2"/>
        <v>3.6949355258782259</v>
      </c>
      <c r="Z21" s="45">
        <f t="shared" ca="1" si="2"/>
        <v>2.6633353061776428</v>
      </c>
      <c r="AA21" s="45">
        <f t="shared" ca="1" si="3"/>
        <v>1.8426795979769295</v>
      </c>
      <c r="AB21" s="45">
        <f t="shared" ca="1" si="3"/>
        <v>1.1595844067636727</v>
      </c>
      <c r="AC21" s="45">
        <f t="shared" ca="1" si="3"/>
        <v>0.55925321533181871</v>
      </c>
      <c r="AD21" s="29">
        <f t="shared" si="7"/>
        <v>0</v>
      </c>
    </row>
    <row r="22" spans="1:31" x14ac:dyDescent="0.25">
      <c r="A22" s="26" t="s">
        <v>5</v>
      </c>
      <c r="B22" s="26">
        <v>20</v>
      </c>
      <c r="G22" s="30">
        <f t="shared" si="4"/>
        <v>16.5</v>
      </c>
      <c r="H22" s="30">
        <f t="shared" si="8"/>
        <v>3</v>
      </c>
      <c r="I22" s="27">
        <f t="shared" si="5"/>
        <v>1.3726027397260272</v>
      </c>
      <c r="J22" s="29">
        <f t="shared" si="6"/>
        <v>180</v>
      </c>
      <c r="K22" s="45">
        <f t="shared" ref="K22:Z28" ca="1" si="9">INDEX($L$77:$AF$95,MATCH(K$17,$I$77:$I$95,0),MATCH($G22,$L$76:$AF$76,0)+1)</f>
        <v>158.72499999999999</v>
      </c>
      <c r="L22" s="45">
        <f t="shared" ca="1" si="9"/>
        <v>137.44999999999999</v>
      </c>
      <c r="M22" s="45">
        <f t="shared" ca="1" si="9"/>
        <v>116.17500000000001</v>
      </c>
      <c r="N22" s="45">
        <f t="shared" ca="1" si="9"/>
        <v>94.9</v>
      </c>
      <c r="O22" s="45">
        <f t="shared" ca="1" si="9"/>
        <v>73.837352815406177</v>
      </c>
      <c r="P22" s="45">
        <f t="shared" ca="1" si="9"/>
        <v>56.030882668897128</v>
      </c>
      <c r="Q22" s="45">
        <f t="shared" ca="1" si="9"/>
        <v>41.438580401583422</v>
      </c>
      <c r="R22" s="45">
        <f t="shared" ca="1" si="9"/>
        <v>30.079668152265782</v>
      </c>
      <c r="S22" s="45">
        <f t="shared" ca="1" si="9"/>
        <v>21.599241115035877</v>
      </c>
      <c r="T22" s="45">
        <f t="shared" ca="1" si="9"/>
        <v>15.444997857189231</v>
      </c>
      <c r="U22" s="45">
        <f t="shared" ca="1" si="9"/>
        <v>11.049577066933605</v>
      </c>
      <c r="V22" s="45">
        <f t="shared" ca="1" si="9"/>
        <v>7.9296583121449826</v>
      </c>
      <c r="W22" s="45">
        <f t="shared" ca="1" si="9"/>
        <v>5.7118378612928202</v>
      </c>
      <c r="X22" s="45">
        <f t="shared" ca="1" si="9"/>
        <v>4.1222993618771335</v>
      </c>
      <c r="Y22" s="45">
        <f t="shared" ca="1" si="9"/>
        <v>2.9654290487445758</v>
      </c>
      <c r="Z22" s="45">
        <f t="shared" ca="1" si="9"/>
        <v>2.1028245123872273</v>
      </c>
      <c r="AA22" s="45">
        <f t="shared" ca="1" si="3"/>
        <v>1.4363810083606585</v>
      </c>
      <c r="AB22" s="45">
        <f t="shared" ca="1" si="3"/>
        <v>0.89580414754942683</v>
      </c>
      <c r="AC22" s="45">
        <f t="shared" ca="1" si="3"/>
        <v>0.42979788939912267</v>
      </c>
      <c r="AD22" s="29">
        <f t="shared" si="7"/>
        <v>0</v>
      </c>
    </row>
    <row r="23" spans="1:31" x14ac:dyDescent="0.25">
      <c r="A23" s="26" t="s">
        <v>10</v>
      </c>
      <c r="B23" s="26">
        <f>B21/B22</f>
        <v>21.274999999999999</v>
      </c>
      <c r="G23" s="30">
        <f t="shared" si="4"/>
        <v>22</v>
      </c>
      <c r="H23" s="30">
        <f t="shared" si="8"/>
        <v>4</v>
      </c>
      <c r="I23" s="27">
        <f t="shared" si="5"/>
        <v>1.8301369863013697</v>
      </c>
      <c r="J23" s="29">
        <f t="shared" si="6"/>
        <v>180</v>
      </c>
      <c r="K23" s="45">
        <f t="shared" ca="1" si="9"/>
        <v>158.72499999999999</v>
      </c>
      <c r="L23" s="45">
        <f t="shared" ca="1" si="9"/>
        <v>137.44999999999999</v>
      </c>
      <c r="M23" s="45">
        <f t="shared" ca="1" si="9"/>
        <v>116.17500000000001</v>
      </c>
      <c r="N23" s="45">
        <f t="shared" ca="1" si="9"/>
        <v>94.9</v>
      </c>
      <c r="O23" s="45">
        <f t="shared" ca="1" si="9"/>
        <v>73.66207064482856</v>
      </c>
      <c r="P23" s="45">
        <f t="shared" ca="1" si="9"/>
        <v>55.24791091312386</v>
      </c>
      <c r="Q23" s="45">
        <f t="shared" ca="1" si="9"/>
        <v>40.086506953021974</v>
      </c>
      <c r="R23" s="45">
        <f t="shared" ca="1" si="9"/>
        <v>28.347355408003455</v>
      </c>
      <c r="S23" s="45">
        <f t="shared" ca="1" si="9"/>
        <v>19.73907494791009</v>
      </c>
      <c r="T23" s="45">
        <f t="shared" ca="1" si="9"/>
        <v>13.660079186640242</v>
      </c>
      <c r="U23" s="45">
        <f t="shared" ca="1" si="9"/>
        <v>9.456399474036072</v>
      </c>
      <c r="V23" s="45">
        <f t="shared" ca="1" si="9"/>
        <v>6.5737736303165955</v>
      </c>
      <c r="W23" s="45">
        <f t="shared" ca="1" si="9"/>
        <v>4.5956194369236858</v>
      </c>
      <c r="X23" s="45">
        <f t="shared" ca="1" si="9"/>
        <v>3.227264873551094</v>
      </c>
      <c r="Y23" s="45">
        <f t="shared" ca="1" si="9"/>
        <v>2.2662104180921228</v>
      </c>
      <c r="Z23" s="45">
        <f t="shared" ca="1" si="9"/>
        <v>1.5746588350005495</v>
      </c>
      <c r="AA23" s="45">
        <f t="shared" ca="1" si="3"/>
        <v>1.0585359318155037</v>
      </c>
      <c r="AB23" s="45">
        <f t="shared" ca="1" si="3"/>
        <v>0.65273150870635888</v>
      </c>
      <c r="AC23" s="45">
        <f t="shared" ca="1" si="3"/>
        <v>0.3111276652339342</v>
      </c>
      <c r="AD23" s="29">
        <f t="shared" si="7"/>
        <v>0</v>
      </c>
    </row>
    <row r="24" spans="1:31" x14ac:dyDescent="0.25">
      <c r="B24" s="26"/>
      <c r="G24" s="30">
        <f t="shared" si="4"/>
        <v>27.5</v>
      </c>
      <c r="H24" s="30">
        <f t="shared" si="8"/>
        <v>5</v>
      </c>
      <c r="I24" s="27">
        <f t="shared" si="5"/>
        <v>2.2876712328767121</v>
      </c>
      <c r="J24" s="29">
        <f t="shared" si="6"/>
        <v>180</v>
      </c>
      <c r="K24" s="45">
        <f t="shared" ca="1" si="9"/>
        <v>158.72499999999999</v>
      </c>
      <c r="L24" s="45">
        <f t="shared" ca="1" si="9"/>
        <v>137.44999999999999</v>
      </c>
      <c r="M24" s="45">
        <f t="shared" ca="1" si="9"/>
        <v>116.17500000000001</v>
      </c>
      <c r="N24" s="45">
        <f t="shared" ca="1" si="9"/>
        <v>94.9</v>
      </c>
      <c r="O24" s="45">
        <f t="shared" ca="1" si="9"/>
        <v>73.625</v>
      </c>
      <c r="P24" s="45">
        <f t="shared" ca="1" si="9"/>
        <v>54.458817247749579</v>
      </c>
      <c r="Q24" s="45">
        <f t="shared" ca="1" si="9"/>
        <v>38.634677298076866</v>
      </c>
      <c r="R24" s="45">
        <f t="shared" ca="1" si="9"/>
        <v>26.429588098537799</v>
      </c>
      <c r="S24" s="45">
        <f t="shared" ca="1" si="9"/>
        <v>17.683061603029856</v>
      </c>
      <c r="T24" s="45">
        <f t="shared" ca="1" si="9"/>
        <v>11.729363206228248</v>
      </c>
      <c r="U24" s="45">
        <f t="shared" ca="1" si="9"/>
        <v>7.7852960405980003</v>
      </c>
      <c r="V24" s="45">
        <f t="shared" ca="1" si="9"/>
        <v>5.1987124463656889</v>
      </c>
      <c r="W24" s="45">
        <f t="shared" ca="1" si="9"/>
        <v>3.5006253222175778</v>
      </c>
      <c r="X24" s="45">
        <f t="shared" ca="1" si="9"/>
        <v>2.375878478615419</v>
      </c>
      <c r="Y24" s="45">
        <f t="shared" ca="1" si="9"/>
        <v>1.6188751263260921</v>
      </c>
      <c r="Z24" s="45">
        <f t="shared" ca="1" si="9"/>
        <v>1.0965952772160712</v>
      </c>
      <c r="AA24" s="45">
        <f t="shared" ca="1" si="3"/>
        <v>0.72246796475440445</v>
      </c>
      <c r="AB24" s="45">
        <f t="shared" ca="1" si="3"/>
        <v>0.43915971526870157</v>
      </c>
      <c r="AC24" s="45">
        <f t="shared" ca="1" si="3"/>
        <v>0.20758793296044092</v>
      </c>
      <c r="AD24" s="29">
        <f t="shared" si="7"/>
        <v>0</v>
      </c>
    </row>
    <row r="25" spans="1:31" x14ac:dyDescent="0.25">
      <c r="A25" s="26" t="s">
        <v>12</v>
      </c>
      <c r="B25" s="26" t="s">
        <v>13</v>
      </c>
      <c r="G25" s="30">
        <f t="shared" si="4"/>
        <v>32.9</v>
      </c>
      <c r="H25" s="30">
        <f t="shared" si="8"/>
        <v>6</v>
      </c>
      <c r="I25" s="27">
        <f t="shared" si="5"/>
        <v>2.7452054794520544</v>
      </c>
      <c r="J25" s="29">
        <f t="shared" si="6"/>
        <v>180</v>
      </c>
      <c r="K25" s="45">
        <f t="shared" ca="1" si="9"/>
        <v>158.72499999999999</v>
      </c>
      <c r="L25" s="45">
        <f t="shared" ca="1" si="9"/>
        <v>137.44999999999999</v>
      </c>
      <c r="M25" s="45">
        <f t="shared" ca="1" si="9"/>
        <v>116.17500000000001</v>
      </c>
      <c r="N25" s="45">
        <f t="shared" ca="1" si="9"/>
        <v>94.9</v>
      </c>
      <c r="O25" s="45">
        <f t="shared" ca="1" si="9"/>
        <v>73.625</v>
      </c>
      <c r="P25" s="45">
        <f t="shared" ca="1" si="9"/>
        <v>53.691783978914593</v>
      </c>
      <c r="Q25" s="45">
        <f t="shared" ca="1" si="9"/>
        <v>37.080506959040868</v>
      </c>
      <c r="R25" s="45">
        <f t="shared" ca="1" si="9"/>
        <v>24.27142609960848</v>
      </c>
      <c r="S25" s="45">
        <f t="shared" ca="1" si="9"/>
        <v>15.373310273326167</v>
      </c>
      <c r="T25" s="45">
        <f t="shared" ca="1" si="9"/>
        <v>9.6296132798460405</v>
      </c>
      <c r="U25" s="45">
        <f t="shared" ca="1" si="9"/>
        <v>6.0462175474927706</v>
      </c>
      <c r="V25" s="45">
        <f t="shared" ca="1" si="9"/>
        <v>3.8327704421917672</v>
      </c>
      <c r="W25" s="45">
        <f t="shared" ca="1" si="9"/>
        <v>2.4605430386214753</v>
      </c>
      <c r="X25" s="45">
        <f t="shared" ca="1" si="9"/>
        <v>1.5996384397181382</v>
      </c>
      <c r="Y25" s="45">
        <f t="shared" ca="1" si="9"/>
        <v>1.0494624521294373</v>
      </c>
      <c r="Z25" s="45">
        <f t="shared" ca="1" si="9"/>
        <v>0.68845272839828764</v>
      </c>
      <c r="AA25" s="45">
        <f t="shared" ca="1" si="3"/>
        <v>0.44214755909757725</v>
      </c>
      <c r="AB25" s="45">
        <f t="shared" ca="1" si="3"/>
        <v>0.26389669738276017</v>
      </c>
      <c r="AC25" s="45">
        <f t="shared" ca="1" si="3"/>
        <v>0.1234143267593986</v>
      </c>
      <c r="AD25" s="29">
        <f t="shared" si="7"/>
        <v>0</v>
      </c>
    </row>
    <row r="26" spans="1:31" x14ac:dyDescent="0.25">
      <c r="A26" s="26" t="s">
        <v>0</v>
      </c>
      <c r="B26" s="26">
        <v>180</v>
      </c>
      <c r="E26" s="25" t="s">
        <v>6</v>
      </c>
      <c r="G26" s="30">
        <f t="shared" si="4"/>
        <v>38.4</v>
      </c>
      <c r="H26" s="30">
        <f t="shared" si="8"/>
        <v>7</v>
      </c>
      <c r="I26" s="27">
        <f t="shared" si="5"/>
        <v>3.2027397260273971</v>
      </c>
      <c r="J26" s="29">
        <f t="shared" si="6"/>
        <v>180</v>
      </c>
      <c r="K26" s="45">
        <f t="shared" ca="1" si="9"/>
        <v>158.72499999999999</v>
      </c>
      <c r="L26" s="45">
        <f t="shared" ca="1" si="9"/>
        <v>137.44999999999999</v>
      </c>
      <c r="M26" s="45">
        <f t="shared" ca="1" si="9"/>
        <v>116.17500000000001</v>
      </c>
      <c r="N26" s="45">
        <f t="shared" ca="1" si="9"/>
        <v>94.9</v>
      </c>
      <c r="O26" s="45">
        <f t="shared" ca="1" si="9"/>
        <v>73.625</v>
      </c>
      <c r="P26" s="45">
        <f t="shared" ca="1" si="9"/>
        <v>53.007164407957973</v>
      </c>
      <c r="Q26" s="45">
        <f t="shared" ca="1" si="9"/>
        <v>35.43466919640737</v>
      </c>
      <c r="R26" s="45">
        <f t="shared" ca="1" si="9"/>
        <v>21.782014592224812</v>
      </c>
      <c r="S26" s="45">
        <f t="shared" ca="1" si="9"/>
        <v>12.716029554017965</v>
      </c>
      <c r="T26" s="45">
        <f t="shared" ca="1" si="9"/>
        <v>7.337977870098908</v>
      </c>
      <c r="U26" s="45">
        <f t="shared" ca="1" si="9"/>
        <v>4.2688675778800356</v>
      </c>
      <c r="V26" s="45">
        <f t="shared" ca="1" si="9"/>
        <v>2.5253717790683612</v>
      </c>
      <c r="W26" s="45">
        <f t="shared" ca="1" si="9"/>
        <v>1.5239024794537741</v>
      </c>
      <c r="X26" s="45">
        <f t="shared" ca="1" si="9"/>
        <v>0.93775106933424301</v>
      </c>
      <c r="Y26" s="45">
        <f t="shared" ca="1" si="9"/>
        <v>0.58640043406400477</v>
      </c>
      <c r="Z26" s="45">
        <f t="shared" ca="1" si="9"/>
        <v>0.3693706460489849</v>
      </c>
      <c r="AA26" s="45">
        <f t="shared" ca="1" si="3"/>
        <v>0.2296443354268102</v>
      </c>
      <c r="AB26" s="45">
        <f t="shared" ca="1" si="3"/>
        <v>0.13389011760600383</v>
      </c>
      <c r="AC26" s="45">
        <f t="shared" ca="1" si="3"/>
        <v>6.1756387383744366E-2</v>
      </c>
      <c r="AD26" s="29">
        <f t="shared" si="7"/>
        <v>0</v>
      </c>
    </row>
    <row r="27" spans="1:31" x14ac:dyDescent="0.25">
      <c r="A27" s="26" t="s">
        <v>14</v>
      </c>
      <c r="B27" s="26">
        <v>0</v>
      </c>
      <c r="G27" s="30">
        <f t="shared" si="4"/>
        <v>43.9</v>
      </c>
      <c r="H27" s="30">
        <f t="shared" si="8"/>
        <v>8</v>
      </c>
      <c r="I27" s="27">
        <f t="shared" si="5"/>
        <v>3.6602739726027393</v>
      </c>
      <c r="J27" s="29">
        <f t="shared" si="6"/>
        <v>180</v>
      </c>
      <c r="K27" s="45">
        <f t="shared" ca="1" si="9"/>
        <v>158.72499999999999</v>
      </c>
      <c r="L27" s="45">
        <f t="shared" ca="1" si="9"/>
        <v>137.44999999999999</v>
      </c>
      <c r="M27" s="45">
        <f t="shared" ca="1" si="9"/>
        <v>116.17500000000001</v>
      </c>
      <c r="N27" s="45">
        <f t="shared" ca="1" si="9"/>
        <v>94.9</v>
      </c>
      <c r="O27" s="45">
        <f t="shared" ca="1" si="9"/>
        <v>73.625</v>
      </c>
      <c r="P27" s="45">
        <f t="shared" ca="1" si="9"/>
        <v>52.50643953611047</v>
      </c>
      <c r="Q27" s="45">
        <f t="shared" ca="1" si="9"/>
        <v>33.739126204303297</v>
      </c>
      <c r="R27" s="45">
        <f t="shared" ca="1" si="9"/>
        <v>18.798810711537637</v>
      </c>
      <c r="S27" s="45">
        <f t="shared" ca="1" si="9"/>
        <v>9.5468787189410946</v>
      </c>
      <c r="T27" s="45">
        <f t="shared" ca="1" si="9"/>
        <v>4.8505247230662105</v>
      </c>
      <c r="U27" s="45">
        <f t="shared" ca="1" si="9"/>
        <v>2.5275031846585665</v>
      </c>
      <c r="V27" s="45">
        <f t="shared" ca="1" si="9"/>
        <v>1.3599931126722467</v>
      </c>
      <c r="W27" s="45">
        <f t="shared" ca="1" si="9"/>
        <v>0.75609994379320489</v>
      </c>
      <c r="X27" s="45">
        <f t="shared" ca="1" si="9"/>
        <v>0.43336504254598701</v>
      </c>
      <c r="Y27" s="45">
        <f t="shared" ca="1" si="9"/>
        <v>0.25489240774224264</v>
      </c>
      <c r="Z27" s="45">
        <f t="shared" ca="1" si="9"/>
        <v>0.15247067170525919</v>
      </c>
      <c r="AA27" s="45">
        <f t="shared" ca="1" si="3"/>
        <v>9.094467001086641E-2</v>
      </c>
      <c r="AB27" s="45">
        <f t="shared" ca="1" si="3"/>
        <v>5.1449235238666062E-2</v>
      </c>
      <c r="AC27" s="45">
        <f t="shared" ca="1" si="3"/>
        <v>2.3309440949376738E-2</v>
      </c>
      <c r="AD27" s="29">
        <f t="shared" si="7"/>
        <v>0</v>
      </c>
    </row>
    <row r="28" spans="1:31" x14ac:dyDescent="0.25">
      <c r="A28" s="26" t="s">
        <v>15</v>
      </c>
      <c r="B28" s="23">
        <v>7.8922000000000003E-3</v>
      </c>
      <c r="G28" s="30">
        <f t="shared" si="4"/>
        <v>49.4</v>
      </c>
      <c r="H28" s="30">
        <f t="shared" si="8"/>
        <v>9</v>
      </c>
      <c r="I28" s="27">
        <f t="shared" si="5"/>
        <v>4.117808219178082</v>
      </c>
      <c r="J28" s="29">
        <f t="shared" si="6"/>
        <v>180</v>
      </c>
      <c r="K28" s="45">
        <f ca="1">INDEX($L$77:$AF$95,MATCH(K$17,$I$77:$I$95,0),MATCH($G28,$L$76:$AF$76,0)+1)</f>
        <v>158.72499999999999</v>
      </c>
      <c r="L28" s="45">
        <f t="shared" ca="1" si="9"/>
        <v>137.44999999999999</v>
      </c>
      <c r="M28" s="45">
        <f t="shared" ca="1" si="9"/>
        <v>116.17500000000001</v>
      </c>
      <c r="N28" s="45">
        <f t="shared" ca="1" si="9"/>
        <v>94.9</v>
      </c>
      <c r="O28" s="45">
        <f t="shared" ca="1" si="9"/>
        <v>73.625</v>
      </c>
      <c r="P28" s="45">
        <f t="shared" ca="1" si="9"/>
        <v>52.350000000000009</v>
      </c>
      <c r="Q28" s="45">
        <f t="shared" ca="1" si="9"/>
        <v>32.121372241477253</v>
      </c>
      <c r="R28" s="45">
        <f t="shared" ca="1" si="9"/>
        <v>15.011843839495757</v>
      </c>
      <c r="S28" s="45">
        <f t="shared" ca="1" si="9"/>
        <v>5.5466149755747667</v>
      </c>
      <c r="T28" s="45">
        <f t="shared" ca="1" si="9"/>
        <v>2.2539496775603776</v>
      </c>
      <c r="U28" s="45">
        <f t="shared" ca="1" si="9"/>
        <v>0.99128899358112399</v>
      </c>
      <c r="V28" s="45">
        <f t="shared" ca="1" si="9"/>
        <v>0.46600357107618429</v>
      </c>
      <c r="W28" s="45">
        <f t="shared" ca="1" si="9"/>
        <v>0.2318476016013829</v>
      </c>
      <c r="X28" s="45">
        <f t="shared" ca="1" si="9"/>
        <v>0.12106260969869263</v>
      </c>
      <c r="Y28" s="45">
        <f t="shared" ca="1" si="9"/>
        <v>6.5809853656977529E-2</v>
      </c>
      <c r="Z28" s="45">
        <f t="shared" ca="1" si="9"/>
        <v>3.6853364997734971E-2</v>
      </c>
      <c r="AA28" s="45">
        <f t="shared" ca="1" si="3"/>
        <v>2.0846877421019306E-2</v>
      </c>
      <c r="AB28" s="45">
        <f t="shared" ca="1" si="3"/>
        <v>1.134381186409464E-2</v>
      </c>
      <c r="AC28" s="45">
        <f t="shared" ca="1" si="3"/>
        <v>5.0208882773161382E-3</v>
      </c>
      <c r="AD28" s="29">
        <f t="shared" si="7"/>
        <v>0</v>
      </c>
    </row>
    <row r="29" spans="1:31" x14ac:dyDescent="0.25">
      <c r="A29" s="26" t="s">
        <v>16</v>
      </c>
      <c r="B29" s="21">
        <v>0.22467999999999999</v>
      </c>
      <c r="G29" s="30">
        <f t="shared" si="4"/>
        <v>54.9</v>
      </c>
      <c r="H29" s="30">
        <f t="shared" si="8"/>
        <v>10</v>
      </c>
      <c r="I29" s="27">
        <f t="shared" si="5"/>
        <v>4.5753424657534243</v>
      </c>
      <c r="J29" s="28">
        <f>MAX(IF($B$25="C",1,-1)*(J$18-$B$26),0)</f>
        <v>180</v>
      </c>
      <c r="K29" s="28">
        <f t="shared" ref="K29:AD29" si="10">MAX(IF($B$25="C",1,-1)*(K$18-$B$26),0)</f>
        <v>158.72499999999999</v>
      </c>
      <c r="L29" s="28">
        <f t="shared" si="10"/>
        <v>137.44999999999999</v>
      </c>
      <c r="M29" s="28">
        <f t="shared" si="10"/>
        <v>116.17500000000001</v>
      </c>
      <c r="N29" s="28">
        <f t="shared" si="10"/>
        <v>94.9</v>
      </c>
      <c r="O29" s="28">
        <f t="shared" si="10"/>
        <v>73.625</v>
      </c>
      <c r="P29" s="28">
        <f t="shared" si="10"/>
        <v>52.350000000000009</v>
      </c>
      <c r="Q29" s="28">
        <f t="shared" si="10"/>
        <v>31.075000000000017</v>
      </c>
      <c r="R29" s="28">
        <f t="shared" si="10"/>
        <v>9.8000000000000114</v>
      </c>
      <c r="S29" s="28">
        <f t="shared" si="10"/>
        <v>0</v>
      </c>
      <c r="T29" s="28">
        <f t="shared" si="10"/>
        <v>0</v>
      </c>
      <c r="U29" s="28">
        <f>MAX(IF($B$25="C",1,-1)*(U$18-$B$26),0)</f>
        <v>0</v>
      </c>
      <c r="V29" s="28">
        <f t="shared" si="10"/>
        <v>0</v>
      </c>
      <c r="W29" s="28">
        <f t="shared" si="10"/>
        <v>0</v>
      </c>
      <c r="X29" s="28">
        <f t="shared" si="10"/>
        <v>0</v>
      </c>
      <c r="Y29" s="28">
        <f t="shared" si="10"/>
        <v>0</v>
      </c>
      <c r="Z29" s="28">
        <f t="shared" si="10"/>
        <v>0</v>
      </c>
      <c r="AA29" s="28">
        <f t="shared" si="10"/>
        <v>0</v>
      </c>
      <c r="AB29" s="28">
        <f t="shared" si="10"/>
        <v>0</v>
      </c>
      <c r="AC29" s="28">
        <f t="shared" si="10"/>
        <v>0</v>
      </c>
      <c r="AD29" s="28">
        <f t="shared" si="10"/>
        <v>0</v>
      </c>
    </row>
    <row r="30" spans="1:31" x14ac:dyDescent="0.25">
      <c r="H30" s="26"/>
      <c r="J30" s="38"/>
    </row>
    <row r="31" spans="1:31" x14ac:dyDescent="0.25">
      <c r="A31" s="26" t="s">
        <v>17</v>
      </c>
      <c r="B31" s="25">
        <f>0.5*(B28-B27)*B19</f>
        <v>1.8054758904109587E-3</v>
      </c>
      <c r="H31" s="26"/>
      <c r="I31" s="26" t="s">
        <v>1</v>
      </c>
      <c r="J31" s="41"/>
      <c r="K31" s="32">
        <f>$B$31*K$17-$B$32*K$17*K$17</f>
        <v>-9.7429406860273949E-3</v>
      </c>
      <c r="L31" s="32">
        <f t="shared" ref="L31:AC31" si="11">$B$31*L$17-$B$32*L$17*L$17</f>
        <v>-4.2582714524931502E-2</v>
      </c>
      <c r="M31" s="32">
        <f>$B$31*M$17-$B$32*M$17*M$17</f>
        <v>-9.8519321516712305E-2</v>
      </c>
      <c r="N31" s="32">
        <f t="shared" si="11"/>
        <v>-0.17755276166136982</v>
      </c>
      <c r="O31" s="32">
        <f t="shared" si="11"/>
        <v>-0.27968303495890406</v>
      </c>
      <c r="P31" s="32">
        <f t="shared" si="11"/>
        <v>-0.40491014140931497</v>
      </c>
      <c r="Q31" s="32">
        <f t="shared" si="11"/>
        <v>-0.55323408101260274</v>
      </c>
      <c r="R31" s="32">
        <f t="shared" si="11"/>
        <v>-0.72465485376876704</v>
      </c>
      <c r="S31" s="32">
        <f t="shared" si="11"/>
        <v>-0.91917245967780792</v>
      </c>
      <c r="T31" s="32">
        <f t="shared" si="11"/>
        <v>-1.1367868987397258</v>
      </c>
      <c r="U31" s="32">
        <f t="shared" si="11"/>
        <v>-1.3774981709545204</v>
      </c>
      <c r="V31" s="32">
        <f t="shared" si="11"/>
        <v>-1.6413062763221915</v>
      </c>
      <c r="W31" s="32">
        <f t="shared" si="11"/>
        <v>-1.9282112148427393</v>
      </c>
      <c r="X31" s="32">
        <f t="shared" si="11"/>
        <v>-2.2382129865161646</v>
      </c>
      <c r="Y31" s="32">
        <f t="shared" si="11"/>
        <v>-2.5713115913424653</v>
      </c>
      <c r="Z31" s="32">
        <f t="shared" si="11"/>
        <v>-2.9275070293216432</v>
      </c>
      <c r="AA31" s="32">
        <f t="shared" si="11"/>
        <v>-3.3067993004536982</v>
      </c>
      <c r="AB31" s="32">
        <f t="shared" si="11"/>
        <v>-3.709188404738629</v>
      </c>
      <c r="AC31" s="32">
        <f t="shared" si="11"/>
        <v>-4.1346743421764378</v>
      </c>
      <c r="AD31" s="41"/>
    </row>
    <row r="32" spans="1:31" x14ac:dyDescent="0.25">
      <c r="A32" s="26" t="s">
        <v>18</v>
      </c>
      <c r="B32" s="25">
        <f>0.5*B29*B29*B19</f>
        <v>1.1548416576438354E-2</v>
      </c>
      <c r="H32" s="26"/>
      <c r="I32" s="26" t="s">
        <v>2</v>
      </c>
      <c r="J32" s="41"/>
      <c r="K32" s="32">
        <f t="shared" ref="K32:AC32" si="12">1+2*$B$32*K$17*K$17+$B$28*$B$19</f>
        <v>1.0267077849336985</v>
      </c>
      <c r="L32" s="32">
        <f t="shared" si="12"/>
        <v>1.0959982843923286</v>
      </c>
      <c r="M32" s="32">
        <f t="shared" si="12"/>
        <v>1.2114824501567121</v>
      </c>
      <c r="N32" s="32">
        <f t="shared" si="12"/>
        <v>1.3731602822268492</v>
      </c>
      <c r="O32" s="32">
        <f t="shared" si="12"/>
        <v>1.5810317806027396</v>
      </c>
      <c r="P32" s="32">
        <f t="shared" si="12"/>
        <v>1.8350969452843833</v>
      </c>
      <c r="Q32" s="32">
        <f t="shared" si="12"/>
        <v>2.1353557762717807</v>
      </c>
      <c r="R32" s="32">
        <f t="shared" si="12"/>
        <v>2.4818082735649312</v>
      </c>
      <c r="S32" s="32">
        <f t="shared" si="12"/>
        <v>2.874454437163835</v>
      </c>
      <c r="T32" s="32">
        <f t="shared" si="12"/>
        <v>3.3132942670684926</v>
      </c>
      <c r="U32" s="32">
        <f t="shared" si="12"/>
        <v>3.7983277632789036</v>
      </c>
      <c r="V32" s="32">
        <f t="shared" si="12"/>
        <v>4.3295549257950681</v>
      </c>
      <c r="W32" s="32">
        <f t="shared" si="12"/>
        <v>4.9069757546169859</v>
      </c>
      <c r="X32" s="32">
        <f t="shared" si="12"/>
        <v>5.530590249744658</v>
      </c>
      <c r="Y32" s="32">
        <f t="shared" si="12"/>
        <v>6.2003984111780817</v>
      </c>
      <c r="Z32" s="32">
        <f t="shared" si="12"/>
        <v>6.9164002389172596</v>
      </c>
      <c r="AA32" s="32">
        <f t="shared" si="12"/>
        <v>7.678595732962191</v>
      </c>
      <c r="AB32" s="32">
        <f t="shared" si="12"/>
        <v>8.486984893312874</v>
      </c>
      <c r="AC32" s="32">
        <f t="shared" si="12"/>
        <v>9.3415677199693139</v>
      </c>
      <c r="AD32" s="41"/>
    </row>
    <row r="33" spans="1:30" x14ac:dyDescent="0.25">
      <c r="H33" s="26"/>
      <c r="I33" s="26" t="s">
        <v>3</v>
      </c>
      <c r="J33" s="41"/>
      <c r="K33" s="32">
        <f t="shared" ref="K33:AC33" si="13">-$B$31*K$17-$B$32*K$17*K$17</f>
        <v>-1.3353892466849314E-2</v>
      </c>
      <c r="L33" s="32">
        <f t="shared" si="13"/>
        <v>-4.9804618086575332E-2</v>
      </c>
      <c r="M33" s="32">
        <f t="shared" si="13"/>
        <v>-0.10935217685917806</v>
      </c>
      <c r="N33" s="32">
        <f t="shared" si="13"/>
        <v>-0.19199656878465751</v>
      </c>
      <c r="O33" s="32">
        <f t="shared" si="13"/>
        <v>-0.29773779386301363</v>
      </c>
      <c r="P33" s="32">
        <f t="shared" si="13"/>
        <v>-0.42657585209424648</v>
      </c>
      <c r="Q33" s="32">
        <f t="shared" si="13"/>
        <v>-0.57851074347835618</v>
      </c>
      <c r="R33" s="32">
        <f t="shared" si="13"/>
        <v>-0.7535424680153423</v>
      </c>
      <c r="S33" s="32">
        <f t="shared" si="13"/>
        <v>-0.95167102570520523</v>
      </c>
      <c r="T33" s="32">
        <f t="shared" si="13"/>
        <v>-1.172896416547945</v>
      </c>
      <c r="U33" s="32">
        <f t="shared" si="13"/>
        <v>-1.4172186405435614</v>
      </c>
      <c r="V33" s="32">
        <f t="shared" si="13"/>
        <v>-1.6846376976920543</v>
      </c>
      <c r="W33" s="32">
        <f t="shared" si="13"/>
        <v>-1.9751535879934243</v>
      </c>
      <c r="X33" s="32">
        <f t="shared" si="13"/>
        <v>-2.2887663114476711</v>
      </c>
      <c r="Y33" s="32">
        <f t="shared" si="13"/>
        <v>-2.625475868054794</v>
      </c>
      <c r="Z33" s="32">
        <f t="shared" si="13"/>
        <v>-2.9852822578147942</v>
      </c>
      <c r="AA33" s="32">
        <f t="shared" si="13"/>
        <v>-3.3681854807276705</v>
      </c>
      <c r="AB33" s="32">
        <f t="shared" si="13"/>
        <v>-3.7741855367934236</v>
      </c>
      <c r="AC33" s="32">
        <f t="shared" si="13"/>
        <v>-4.2032824260120547</v>
      </c>
      <c r="AD33" s="41"/>
    </row>
    <row r="34" spans="1:30" x14ac:dyDescent="0.25">
      <c r="A34" s="26" t="s">
        <v>22</v>
      </c>
      <c r="B34" s="26">
        <v>212.75</v>
      </c>
      <c r="J34" s="38"/>
      <c r="AD34" s="38"/>
    </row>
    <row r="35" spans="1:30" x14ac:dyDescent="0.25">
      <c r="A35" s="26" t="s">
        <v>23</v>
      </c>
      <c r="B35" s="31">
        <f ca="1">INDEX($J$19:$AD$19,MATCH(B34,$J$18:$AD$18,0))</f>
        <v>20.105241188614251</v>
      </c>
      <c r="I35" s="26"/>
      <c r="J35" s="26">
        <v>1</v>
      </c>
      <c r="K35" s="26">
        <v>2</v>
      </c>
      <c r="L35" s="26">
        <v>3</v>
      </c>
      <c r="M35" s="26">
        <v>4</v>
      </c>
      <c r="N35" s="26">
        <v>5</v>
      </c>
      <c r="O35" s="26">
        <v>6</v>
      </c>
      <c r="P35" s="26">
        <v>7</v>
      </c>
      <c r="Q35" s="26">
        <v>8</v>
      </c>
      <c r="R35" s="26">
        <v>9</v>
      </c>
      <c r="S35" s="26">
        <v>10</v>
      </c>
      <c r="T35" s="26">
        <v>11</v>
      </c>
      <c r="U35" s="26">
        <v>12</v>
      </c>
      <c r="V35" s="26">
        <v>13</v>
      </c>
      <c r="W35" s="26">
        <v>14</v>
      </c>
      <c r="X35" s="26">
        <v>15</v>
      </c>
      <c r="Y35" s="26">
        <v>16</v>
      </c>
      <c r="Z35" s="26">
        <v>17</v>
      </c>
      <c r="AA35" s="26">
        <v>18</v>
      </c>
      <c r="AB35" s="26">
        <v>19</v>
      </c>
      <c r="AC35" s="26">
        <v>20</v>
      </c>
      <c r="AD35" s="26">
        <v>21</v>
      </c>
    </row>
    <row r="36" spans="1:30" x14ac:dyDescent="0.25">
      <c r="I36" s="26">
        <v>1</v>
      </c>
      <c r="J36" s="44">
        <f t="shared" ref="J36:Y51" ca="1" si="14">IF(J$35/$I36=1,OFFSET($J$30,1,$I36),IF((J$35-1)/$I36=1,OFFSET($J$30,2,$I36),IF((J$35-2)/$I36=1,OFFSET($J$30,3,$I36),0)))</f>
        <v>-9.7429406860273949E-3</v>
      </c>
      <c r="K36" s="41">
        <f ca="1">IF(K$35/$I36=1,OFFSET($J$30,1,$I36),IF((K$35-1)/$I36=1,OFFSET($J$30,2,$I36),IF((K$35-2)/$I36=1,OFFSET($J$30,3,$I36),0)))</f>
        <v>1.0267077849336985</v>
      </c>
      <c r="L36" s="41">
        <f t="shared" ca="1" si="14"/>
        <v>-1.3353892466849314E-2</v>
      </c>
      <c r="M36" s="41">
        <f t="shared" ca="1" si="14"/>
        <v>0</v>
      </c>
      <c r="N36" s="41">
        <f t="shared" ca="1" si="14"/>
        <v>0</v>
      </c>
      <c r="O36" s="41">
        <f t="shared" ca="1" si="14"/>
        <v>0</v>
      </c>
      <c r="P36" s="41">
        <f t="shared" ca="1" si="14"/>
        <v>0</v>
      </c>
      <c r="Q36" s="41">
        <f t="shared" ca="1" si="14"/>
        <v>0</v>
      </c>
      <c r="R36" s="41">
        <f t="shared" ca="1" si="14"/>
        <v>0</v>
      </c>
      <c r="S36" s="41">
        <f t="shared" ca="1" si="14"/>
        <v>0</v>
      </c>
      <c r="T36" s="41">
        <f t="shared" ca="1" si="14"/>
        <v>0</v>
      </c>
      <c r="U36" s="41">
        <f t="shared" ca="1" si="14"/>
        <v>0</v>
      </c>
      <c r="V36" s="41">
        <f t="shared" ca="1" si="14"/>
        <v>0</v>
      </c>
      <c r="W36" s="41">
        <f t="shared" ca="1" si="14"/>
        <v>0</v>
      </c>
      <c r="X36" s="41">
        <f t="shared" ca="1" si="14"/>
        <v>0</v>
      </c>
      <c r="Y36" s="41">
        <f t="shared" ca="1" si="14"/>
        <v>0</v>
      </c>
      <c r="Z36" s="41">
        <f t="shared" ref="Z36:AD51" ca="1" si="15">IF(Z$35/$I36=1,OFFSET($J$30,1,$I36),IF((Z$35-1)/$I36=1,OFFSET($J$30,2,$I36),IF((Z$35-2)/$I36=1,OFFSET($J$30,3,$I36),0)))</f>
        <v>0</v>
      </c>
      <c r="AA36" s="41">
        <f t="shared" ca="1" si="15"/>
        <v>0</v>
      </c>
      <c r="AB36" s="41">
        <f t="shared" ca="1" si="15"/>
        <v>0</v>
      </c>
      <c r="AC36" s="41">
        <f t="shared" ca="1" si="15"/>
        <v>0</v>
      </c>
      <c r="AD36" s="44">
        <f t="shared" ca="1" si="15"/>
        <v>0</v>
      </c>
    </row>
    <row r="37" spans="1:30" x14ac:dyDescent="0.25">
      <c r="H37" s="36"/>
      <c r="I37" s="26">
        <v>2</v>
      </c>
      <c r="J37" s="44">
        <f t="shared" ca="1" si="14"/>
        <v>0</v>
      </c>
      <c r="K37" s="41">
        <f t="shared" ca="1" si="14"/>
        <v>-4.2582714524931502E-2</v>
      </c>
      <c r="L37" s="41">
        <f t="shared" ca="1" si="14"/>
        <v>1.0959982843923286</v>
      </c>
      <c r="M37" s="41">
        <f t="shared" ca="1" si="14"/>
        <v>-4.9804618086575332E-2</v>
      </c>
      <c r="N37" s="41">
        <f t="shared" ca="1" si="14"/>
        <v>0</v>
      </c>
      <c r="O37" s="41">
        <f t="shared" ca="1" si="14"/>
        <v>0</v>
      </c>
      <c r="P37" s="41">
        <f t="shared" ca="1" si="14"/>
        <v>0</v>
      </c>
      <c r="Q37" s="41">
        <f t="shared" ca="1" si="14"/>
        <v>0</v>
      </c>
      <c r="R37" s="41">
        <f t="shared" ca="1" si="14"/>
        <v>0</v>
      </c>
      <c r="S37" s="41">
        <f t="shared" ca="1" si="14"/>
        <v>0</v>
      </c>
      <c r="T37" s="41">
        <f t="shared" ca="1" si="14"/>
        <v>0</v>
      </c>
      <c r="U37" s="41">
        <f t="shared" ca="1" si="14"/>
        <v>0</v>
      </c>
      <c r="V37" s="41">
        <f t="shared" ca="1" si="14"/>
        <v>0</v>
      </c>
      <c r="W37" s="41">
        <f t="shared" ca="1" si="14"/>
        <v>0</v>
      </c>
      <c r="X37" s="41">
        <f t="shared" ca="1" si="14"/>
        <v>0</v>
      </c>
      <c r="Y37" s="41">
        <f t="shared" ca="1" si="14"/>
        <v>0</v>
      </c>
      <c r="Z37" s="41">
        <f t="shared" ca="1" si="15"/>
        <v>0</v>
      </c>
      <c r="AA37" s="41">
        <f t="shared" ca="1" si="15"/>
        <v>0</v>
      </c>
      <c r="AB37" s="41">
        <f t="shared" ca="1" si="15"/>
        <v>0</v>
      </c>
      <c r="AC37" s="41">
        <f t="shared" ca="1" si="15"/>
        <v>0</v>
      </c>
      <c r="AD37" s="44">
        <f t="shared" ca="1" si="15"/>
        <v>0</v>
      </c>
    </row>
    <row r="38" spans="1:30" x14ac:dyDescent="0.25">
      <c r="B38" s="46">
        <v>25.164469390558299</v>
      </c>
      <c r="C38" s="24">
        <f ca="1">B35+B38</f>
        <v>45.269710579172553</v>
      </c>
      <c r="D38" s="25">
        <f ca="1">C38/2</f>
        <v>22.634855289586277</v>
      </c>
      <c r="H38" s="36"/>
      <c r="I38" s="26">
        <v>3</v>
      </c>
      <c r="J38" s="44">
        <f t="shared" ca="1" si="14"/>
        <v>0</v>
      </c>
      <c r="K38" s="41">
        <f t="shared" ca="1" si="14"/>
        <v>0</v>
      </c>
      <c r="L38" s="41">
        <f t="shared" ca="1" si="14"/>
        <v>-9.8519321516712305E-2</v>
      </c>
      <c r="M38" s="41">
        <f t="shared" ca="1" si="14"/>
        <v>1.2114824501567121</v>
      </c>
      <c r="N38" s="41">
        <f t="shared" ca="1" si="14"/>
        <v>-0.10935217685917806</v>
      </c>
      <c r="O38" s="41">
        <f t="shared" ca="1" si="14"/>
        <v>0</v>
      </c>
      <c r="P38" s="41">
        <f t="shared" ca="1" si="14"/>
        <v>0</v>
      </c>
      <c r="Q38" s="41">
        <f t="shared" ca="1" si="14"/>
        <v>0</v>
      </c>
      <c r="R38" s="41">
        <f t="shared" ca="1" si="14"/>
        <v>0</v>
      </c>
      <c r="S38" s="41">
        <f t="shared" ca="1" si="14"/>
        <v>0</v>
      </c>
      <c r="T38" s="41">
        <f t="shared" ca="1" si="14"/>
        <v>0</v>
      </c>
      <c r="U38" s="41">
        <f t="shared" ca="1" si="14"/>
        <v>0</v>
      </c>
      <c r="V38" s="41">
        <f t="shared" ca="1" si="14"/>
        <v>0</v>
      </c>
      <c r="W38" s="41">
        <f t="shared" ca="1" si="14"/>
        <v>0</v>
      </c>
      <c r="X38" s="41">
        <f t="shared" ca="1" si="14"/>
        <v>0</v>
      </c>
      <c r="Y38" s="41">
        <f t="shared" ca="1" si="14"/>
        <v>0</v>
      </c>
      <c r="Z38" s="41">
        <f t="shared" ca="1" si="15"/>
        <v>0</v>
      </c>
      <c r="AA38" s="41">
        <f t="shared" ca="1" si="15"/>
        <v>0</v>
      </c>
      <c r="AB38" s="41">
        <f t="shared" ca="1" si="15"/>
        <v>0</v>
      </c>
      <c r="AC38" s="41">
        <f t="shared" ca="1" si="15"/>
        <v>0</v>
      </c>
      <c r="AD38" s="44">
        <f t="shared" ca="1" si="15"/>
        <v>0</v>
      </c>
    </row>
    <row r="39" spans="1:30" x14ac:dyDescent="0.25">
      <c r="H39" s="36"/>
      <c r="I39" s="26">
        <v>4</v>
      </c>
      <c r="J39" s="44">
        <f t="shared" ca="1" si="14"/>
        <v>0</v>
      </c>
      <c r="K39" s="41">
        <f t="shared" ca="1" si="14"/>
        <v>0</v>
      </c>
      <c r="L39" s="41">
        <f t="shared" ca="1" si="14"/>
        <v>0</v>
      </c>
      <c r="M39" s="41">
        <f t="shared" ca="1" si="14"/>
        <v>-0.17755276166136982</v>
      </c>
      <c r="N39" s="41">
        <f t="shared" ca="1" si="14"/>
        <v>1.3731602822268492</v>
      </c>
      <c r="O39" s="41">
        <f t="shared" ca="1" si="14"/>
        <v>-0.19199656878465751</v>
      </c>
      <c r="P39" s="41">
        <f t="shared" ca="1" si="14"/>
        <v>0</v>
      </c>
      <c r="Q39" s="41">
        <f t="shared" ca="1" si="14"/>
        <v>0</v>
      </c>
      <c r="R39" s="41">
        <f t="shared" ca="1" si="14"/>
        <v>0</v>
      </c>
      <c r="S39" s="41">
        <f t="shared" ca="1" si="14"/>
        <v>0</v>
      </c>
      <c r="T39" s="41">
        <f t="shared" ca="1" si="14"/>
        <v>0</v>
      </c>
      <c r="U39" s="41">
        <f t="shared" ca="1" si="14"/>
        <v>0</v>
      </c>
      <c r="V39" s="41">
        <f t="shared" ca="1" si="14"/>
        <v>0</v>
      </c>
      <c r="W39" s="41">
        <f t="shared" ca="1" si="14"/>
        <v>0</v>
      </c>
      <c r="X39" s="41">
        <f t="shared" ca="1" si="14"/>
        <v>0</v>
      </c>
      <c r="Y39" s="41">
        <f t="shared" ca="1" si="14"/>
        <v>0</v>
      </c>
      <c r="Z39" s="41">
        <f t="shared" ca="1" si="15"/>
        <v>0</v>
      </c>
      <c r="AA39" s="41">
        <f t="shared" ca="1" si="15"/>
        <v>0</v>
      </c>
      <c r="AB39" s="41">
        <f t="shared" ca="1" si="15"/>
        <v>0</v>
      </c>
      <c r="AC39" s="41">
        <f t="shared" ca="1" si="15"/>
        <v>0</v>
      </c>
      <c r="AD39" s="44">
        <f t="shared" ca="1" si="15"/>
        <v>0</v>
      </c>
    </row>
    <row r="40" spans="1:30" x14ac:dyDescent="0.25">
      <c r="B40" s="24">
        <f ca="1">B35-B38</f>
        <v>-5.0592282019440482</v>
      </c>
      <c r="D40" s="25">
        <v>25.475000000000001</v>
      </c>
      <c r="H40" s="36"/>
      <c r="I40" s="26">
        <v>5</v>
      </c>
      <c r="J40" s="44">
        <f t="shared" ca="1" si="14"/>
        <v>0</v>
      </c>
      <c r="K40" s="41">
        <f t="shared" ca="1" si="14"/>
        <v>0</v>
      </c>
      <c r="L40" s="41">
        <f t="shared" ca="1" si="14"/>
        <v>0</v>
      </c>
      <c r="M40" s="41">
        <f t="shared" ca="1" si="14"/>
        <v>0</v>
      </c>
      <c r="N40" s="41">
        <f t="shared" ca="1" si="14"/>
        <v>-0.27968303495890406</v>
      </c>
      <c r="O40" s="41">
        <f t="shared" ca="1" si="14"/>
        <v>1.5810317806027396</v>
      </c>
      <c r="P40" s="41">
        <f t="shared" ca="1" si="14"/>
        <v>-0.29773779386301363</v>
      </c>
      <c r="Q40" s="41">
        <f t="shared" ca="1" si="14"/>
        <v>0</v>
      </c>
      <c r="R40" s="41">
        <f t="shared" ca="1" si="14"/>
        <v>0</v>
      </c>
      <c r="S40" s="41">
        <f t="shared" ca="1" si="14"/>
        <v>0</v>
      </c>
      <c r="T40" s="41">
        <f t="shared" ca="1" si="14"/>
        <v>0</v>
      </c>
      <c r="U40" s="41">
        <f t="shared" ca="1" si="14"/>
        <v>0</v>
      </c>
      <c r="V40" s="41">
        <f t="shared" ca="1" si="14"/>
        <v>0</v>
      </c>
      <c r="W40" s="41">
        <f t="shared" ca="1" si="14"/>
        <v>0</v>
      </c>
      <c r="X40" s="41">
        <f t="shared" ca="1" si="14"/>
        <v>0</v>
      </c>
      <c r="Y40" s="41">
        <f t="shared" ca="1" si="14"/>
        <v>0</v>
      </c>
      <c r="Z40" s="41">
        <f t="shared" ca="1" si="15"/>
        <v>0</v>
      </c>
      <c r="AA40" s="41">
        <f t="shared" ca="1" si="15"/>
        <v>0</v>
      </c>
      <c r="AB40" s="41">
        <f t="shared" ca="1" si="15"/>
        <v>0</v>
      </c>
      <c r="AC40" s="41">
        <f t="shared" ca="1" si="15"/>
        <v>0</v>
      </c>
      <c r="AD40" s="44">
        <f t="shared" ca="1" si="15"/>
        <v>0</v>
      </c>
    </row>
    <row r="41" spans="1:30" x14ac:dyDescent="0.25">
      <c r="H41" s="36"/>
      <c r="I41" s="26">
        <v>6</v>
      </c>
      <c r="J41" s="44">
        <f t="shared" ca="1" si="14"/>
        <v>0</v>
      </c>
      <c r="K41" s="41">
        <f t="shared" ca="1" si="14"/>
        <v>0</v>
      </c>
      <c r="L41" s="41">
        <f t="shared" ca="1" si="14"/>
        <v>0</v>
      </c>
      <c r="M41" s="41">
        <f t="shared" ca="1" si="14"/>
        <v>0</v>
      </c>
      <c r="N41" s="41">
        <f t="shared" ca="1" si="14"/>
        <v>0</v>
      </c>
      <c r="O41" s="41">
        <f t="shared" ca="1" si="14"/>
        <v>-0.40491014140931497</v>
      </c>
      <c r="P41" s="41">
        <f t="shared" ca="1" si="14"/>
        <v>1.8350969452843833</v>
      </c>
      <c r="Q41" s="41">
        <f t="shared" ca="1" si="14"/>
        <v>-0.42657585209424648</v>
      </c>
      <c r="R41" s="41">
        <f t="shared" ca="1" si="14"/>
        <v>0</v>
      </c>
      <c r="S41" s="41">
        <f t="shared" ca="1" si="14"/>
        <v>0</v>
      </c>
      <c r="T41" s="41">
        <f t="shared" ca="1" si="14"/>
        <v>0</v>
      </c>
      <c r="U41" s="41">
        <f t="shared" ca="1" si="14"/>
        <v>0</v>
      </c>
      <c r="V41" s="41">
        <f t="shared" ca="1" si="14"/>
        <v>0</v>
      </c>
      <c r="W41" s="41">
        <f t="shared" ca="1" si="14"/>
        <v>0</v>
      </c>
      <c r="X41" s="41">
        <f t="shared" ca="1" si="14"/>
        <v>0</v>
      </c>
      <c r="Y41" s="41">
        <f t="shared" ca="1" si="14"/>
        <v>0</v>
      </c>
      <c r="Z41" s="41">
        <f t="shared" ca="1" si="15"/>
        <v>0</v>
      </c>
      <c r="AA41" s="41">
        <f t="shared" ca="1" si="15"/>
        <v>0</v>
      </c>
      <c r="AB41" s="41">
        <f t="shared" ca="1" si="15"/>
        <v>0</v>
      </c>
      <c r="AC41" s="41">
        <f t="shared" ca="1" si="15"/>
        <v>0</v>
      </c>
      <c r="AD41" s="44">
        <f t="shared" ca="1" si="15"/>
        <v>0</v>
      </c>
    </row>
    <row r="42" spans="1:30" x14ac:dyDescent="0.25">
      <c r="H42" s="36"/>
      <c r="I42" s="26">
        <v>7</v>
      </c>
      <c r="J42" s="44">
        <f t="shared" ca="1" si="14"/>
        <v>0</v>
      </c>
      <c r="K42" s="41">
        <f t="shared" ca="1" si="14"/>
        <v>0</v>
      </c>
      <c r="L42" s="41">
        <f t="shared" ca="1" si="14"/>
        <v>0</v>
      </c>
      <c r="M42" s="41">
        <f t="shared" ca="1" si="14"/>
        <v>0</v>
      </c>
      <c r="N42" s="41">
        <f t="shared" ca="1" si="14"/>
        <v>0</v>
      </c>
      <c r="O42" s="41">
        <f t="shared" ca="1" si="14"/>
        <v>0</v>
      </c>
      <c r="P42" s="41">
        <f t="shared" ca="1" si="14"/>
        <v>-0.55323408101260274</v>
      </c>
      <c r="Q42" s="41">
        <f t="shared" ca="1" si="14"/>
        <v>2.1353557762717807</v>
      </c>
      <c r="R42" s="41">
        <f t="shared" ca="1" si="14"/>
        <v>-0.57851074347835618</v>
      </c>
      <c r="S42" s="41">
        <f t="shared" ca="1" si="14"/>
        <v>0</v>
      </c>
      <c r="T42" s="41">
        <f t="shared" ca="1" si="14"/>
        <v>0</v>
      </c>
      <c r="U42" s="41">
        <f t="shared" ca="1" si="14"/>
        <v>0</v>
      </c>
      <c r="V42" s="41">
        <f t="shared" ca="1" si="14"/>
        <v>0</v>
      </c>
      <c r="W42" s="41">
        <f t="shared" ca="1" si="14"/>
        <v>0</v>
      </c>
      <c r="X42" s="41">
        <f t="shared" ca="1" si="14"/>
        <v>0</v>
      </c>
      <c r="Y42" s="41">
        <f t="shared" ca="1" si="14"/>
        <v>0</v>
      </c>
      <c r="Z42" s="41">
        <f t="shared" ca="1" si="15"/>
        <v>0</v>
      </c>
      <c r="AA42" s="41">
        <f t="shared" ca="1" si="15"/>
        <v>0</v>
      </c>
      <c r="AB42" s="41">
        <f t="shared" ca="1" si="15"/>
        <v>0</v>
      </c>
      <c r="AC42" s="41">
        <f t="shared" ca="1" si="15"/>
        <v>0</v>
      </c>
      <c r="AD42" s="44">
        <f t="shared" ca="1" si="15"/>
        <v>0</v>
      </c>
    </row>
    <row r="43" spans="1:30" x14ac:dyDescent="0.25">
      <c r="H43" s="36"/>
      <c r="I43" s="26">
        <v>8</v>
      </c>
      <c r="J43" s="44">
        <f t="shared" ca="1" si="14"/>
        <v>0</v>
      </c>
      <c r="K43" s="41">
        <f t="shared" ca="1" si="14"/>
        <v>0</v>
      </c>
      <c r="L43" s="41">
        <f t="shared" ca="1" si="14"/>
        <v>0</v>
      </c>
      <c r="M43" s="41">
        <f t="shared" ca="1" si="14"/>
        <v>0</v>
      </c>
      <c r="N43" s="41">
        <f t="shared" ca="1" si="14"/>
        <v>0</v>
      </c>
      <c r="O43" s="41">
        <f t="shared" ca="1" si="14"/>
        <v>0</v>
      </c>
      <c r="P43" s="41">
        <f t="shared" ca="1" si="14"/>
        <v>0</v>
      </c>
      <c r="Q43" s="41">
        <f t="shared" ca="1" si="14"/>
        <v>-0.72465485376876704</v>
      </c>
      <c r="R43" s="41">
        <f t="shared" ca="1" si="14"/>
        <v>2.4818082735649312</v>
      </c>
      <c r="S43" s="41">
        <f t="shared" ca="1" si="14"/>
        <v>-0.7535424680153423</v>
      </c>
      <c r="T43" s="41">
        <f t="shared" ca="1" si="14"/>
        <v>0</v>
      </c>
      <c r="U43" s="41">
        <f t="shared" ca="1" si="14"/>
        <v>0</v>
      </c>
      <c r="V43" s="41">
        <f t="shared" ca="1" si="14"/>
        <v>0</v>
      </c>
      <c r="W43" s="41">
        <f t="shared" ca="1" si="14"/>
        <v>0</v>
      </c>
      <c r="X43" s="41">
        <f t="shared" ca="1" si="14"/>
        <v>0</v>
      </c>
      <c r="Y43" s="41">
        <f t="shared" ca="1" si="14"/>
        <v>0</v>
      </c>
      <c r="Z43" s="41">
        <f t="shared" ca="1" si="15"/>
        <v>0</v>
      </c>
      <c r="AA43" s="41">
        <f t="shared" ca="1" si="15"/>
        <v>0</v>
      </c>
      <c r="AB43" s="41">
        <f t="shared" ca="1" si="15"/>
        <v>0</v>
      </c>
      <c r="AC43" s="41">
        <f t="shared" ca="1" si="15"/>
        <v>0</v>
      </c>
      <c r="AD43" s="44">
        <f t="shared" ca="1" si="15"/>
        <v>0</v>
      </c>
    </row>
    <row r="44" spans="1:30" x14ac:dyDescent="0.25">
      <c r="H44" s="36"/>
      <c r="I44" s="26">
        <v>9</v>
      </c>
      <c r="J44" s="44">
        <f t="shared" ca="1" si="14"/>
        <v>0</v>
      </c>
      <c r="K44" s="41">
        <f t="shared" ca="1" si="14"/>
        <v>0</v>
      </c>
      <c r="L44" s="41">
        <f t="shared" ca="1" si="14"/>
        <v>0</v>
      </c>
      <c r="M44" s="41">
        <f t="shared" ca="1" si="14"/>
        <v>0</v>
      </c>
      <c r="N44" s="41">
        <f t="shared" ca="1" si="14"/>
        <v>0</v>
      </c>
      <c r="O44" s="41">
        <f t="shared" ca="1" si="14"/>
        <v>0</v>
      </c>
      <c r="P44" s="41">
        <f t="shared" ca="1" si="14"/>
        <v>0</v>
      </c>
      <c r="Q44" s="41">
        <f t="shared" ca="1" si="14"/>
        <v>0</v>
      </c>
      <c r="R44" s="41">
        <f t="shared" ca="1" si="14"/>
        <v>-0.91917245967780792</v>
      </c>
      <c r="S44" s="41">
        <f t="shared" ca="1" si="14"/>
        <v>2.874454437163835</v>
      </c>
      <c r="T44" s="41">
        <f t="shared" ca="1" si="14"/>
        <v>-0.95167102570520523</v>
      </c>
      <c r="U44" s="41">
        <f t="shared" ca="1" si="14"/>
        <v>0</v>
      </c>
      <c r="V44" s="41">
        <f t="shared" ca="1" si="14"/>
        <v>0</v>
      </c>
      <c r="W44" s="41">
        <f t="shared" ca="1" si="14"/>
        <v>0</v>
      </c>
      <c r="X44" s="41">
        <f t="shared" ca="1" si="14"/>
        <v>0</v>
      </c>
      <c r="Y44" s="41">
        <f t="shared" ca="1" si="14"/>
        <v>0</v>
      </c>
      <c r="Z44" s="41">
        <f t="shared" ca="1" si="15"/>
        <v>0</v>
      </c>
      <c r="AA44" s="41">
        <f t="shared" ca="1" si="15"/>
        <v>0</v>
      </c>
      <c r="AB44" s="41">
        <f t="shared" ca="1" si="15"/>
        <v>0</v>
      </c>
      <c r="AC44" s="41">
        <f t="shared" ca="1" si="15"/>
        <v>0</v>
      </c>
      <c r="AD44" s="44">
        <f t="shared" ca="1" si="15"/>
        <v>0</v>
      </c>
    </row>
    <row r="45" spans="1:30" x14ac:dyDescent="0.25">
      <c r="H45" s="36"/>
      <c r="I45" s="26">
        <v>10</v>
      </c>
      <c r="J45" s="44">
        <f t="shared" ca="1" si="14"/>
        <v>0</v>
      </c>
      <c r="K45" s="41">
        <f t="shared" ca="1" si="14"/>
        <v>0</v>
      </c>
      <c r="L45" s="41">
        <f t="shared" ca="1" si="14"/>
        <v>0</v>
      </c>
      <c r="M45" s="41">
        <f t="shared" ca="1" si="14"/>
        <v>0</v>
      </c>
      <c r="N45" s="41">
        <f t="shared" ca="1" si="14"/>
        <v>0</v>
      </c>
      <c r="O45" s="41">
        <f t="shared" ca="1" si="14"/>
        <v>0</v>
      </c>
      <c r="P45" s="41">
        <f t="shared" ca="1" si="14"/>
        <v>0</v>
      </c>
      <c r="Q45" s="41">
        <f t="shared" ca="1" si="14"/>
        <v>0</v>
      </c>
      <c r="R45" s="41">
        <f t="shared" ca="1" si="14"/>
        <v>0</v>
      </c>
      <c r="S45" s="41">
        <f t="shared" ca="1" si="14"/>
        <v>-1.1367868987397258</v>
      </c>
      <c r="T45" s="41">
        <f t="shared" ca="1" si="14"/>
        <v>3.3132942670684926</v>
      </c>
      <c r="U45" s="41">
        <f t="shared" ca="1" si="14"/>
        <v>-1.172896416547945</v>
      </c>
      <c r="V45" s="41">
        <f t="shared" ca="1" si="14"/>
        <v>0</v>
      </c>
      <c r="W45" s="41">
        <f t="shared" ca="1" si="14"/>
        <v>0</v>
      </c>
      <c r="X45" s="41">
        <f t="shared" ca="1" si="14"/>
        <v>0</v>
      </c>
      <c r="Y45" s="41">
        <f t="shared" ca="1" si="14"/>
        <v>0</v>
      </c>
      <c r="Z45" s="41">
        <f t="shared" ca="1" si="15"/>
        <v>0</v>
      </c>
      <c r="AA45" s="41">
        <f t="shared" ca="1" si="15"/>
        <v>0</v>
      </c>
      <c r="AB45" s="41">
        <f t="shared" ca="1" si="15"/>
        <v>0</v>
      </c>
      <c r="AC45" s="41">
        <f t="shared" ca="1" si="15"/>
        <v>0</v>
      </c>
      <c r="AD45" s="44">
        <f t="shared" ca="1" si="15"/>
        <v>0</v>
      </c>
    </row>
    <row r="46" spans="1:30" x14ac:dyDescent="0.25">
      <c r="H46" s="36"/>
      <c r="I46" s="26">
        <v>11</v>
      </c>
      <c r="J46" s="44">
        <f t="shared" ca="1" si="14"/>
        <v>0</v>
      </c>
      <c r="K46" s="41">
        <f t="shared" ca="1" si="14"/>
        <v>0</v>
      </c>
      <c r="L46" s="41">
        <f t="shared" ca="1" si="14"/>
        <v>0</v>
      </c>
      <c r="M46" s="41">
        <f t="shared" ca="1" si="14"/>
        <v>0</v>
      </c>
      <c r="N46" s="41">
        <f t="shared" ca="1" si="14"/>
        <v>0</v>
      </c>
      <c r="O46" s="41">
        <f t="shared" ca="1" si="14"/>
        <v>0</v>
      </c>
      <c r="P46" s="41">
        <f t="shared" ca="1" si="14"/>
        <v>0</v>
      </c>
      <c r="Q46" s="41">
        <f t="shared" ca="1" si="14"/>
        <v>0</v>
      </c>
      <c r="R46" s="41">
        <f t="shared" ca="1" si="14"/>
        <v>0</v>
      </c>
      <c r="S46" s="41">
        <f t="shared" ca="1" si="14"/>
        <v>0</v>
      </c>
      <c r="T46" s="41">
        <f t="shared" ca="1" si="14"/>
        <v>-1.3774981709545204</v>
      </c>
      <c r="U46" s="41">
        <f t="shared" ca="1" si="14"/>
        <v>3.7983277632789036</v>
      </c>
      <c r="V46" s="41">
        <f t="shared" ca="1" si="14"/>
        <v>-1.4172186405435614</v>
      </c>
      <c r="W46" s="41">
        <f t="shared" ca="1" si="14"/>
        <v>0</v>
      </c>
      <c r="X46" s="41">
        <f t="shared" ca="1" si="14"/>
        <v>0</v>
      </c>
      <c r="Y46" s="41">
        <f t="shared" ca="1" si="14"/>
        <v>0</v>
      </c>
      <c r="Z46" s="41">
        <f t="shared" ca="1" si="15"/>
        <v>0</v>
      </c>
      <c r="AA46" s="41">
        <f t="shared" ca="1" si="15"/>
        <v>0</v>
      </c>
      <c r="AB46" s="41">
        <f t="shared" ca="1" si="15"/>
        <v>0</v>
      </c>
      <c r="AC46" s="41">
        <f t="shared" ca="1" si="15"/>
        <v>0</v>
      </c>
      <c r="AD46" s="44">
        <f t="shared" ca="1" si="15"/>
        <v>0</v>
      </c>
    </row>
    <row r="47" spans="1:30" x14ac:dyDescent="0.25">
      <c r="H47" s="36"/>
      <c r="I47" s="26">
        <v>12</v>
      </c>
      <c r="J47" s="44">
        <f t="shared" ca="1" si="14"/>
        <v>0</v>
      </c>
      <c r="K47" s="41">
        <f t="shared" ca="1" si="14"/>
        <v>0</v>
      </c>
      <c r="L47" s="41">
        <f t="shared" ca="1" si="14"/>
        <v>0</v>
      </c>
      <c r="M47" s="41">
        <f t="shared" ca="1" si="14"/>
        <v>0</v>
      </c>
      <c r="N47" s="41">
        <f t="shared" ca="1" si="14"/>
        <v>0</v>
      </c>
      <c r="O47" s="41">
        <f t="shared" ca="1" si="14"/>
        <v>0</v>
      </c>
      <c r="P47" s="41">
        <f t="shared" ca="1" si="14"/>
        <v>0</v>
      </c>
      <c r="Q47" s="41">
        <f t="shared" ca="1" si="14"/>
        <v>0</v>
      </c>
      <c r="R47" s="41">
        <f t="shared" ca="1" si="14"/>
        <v>0</v>
      </c>
      <c r="S47" s="41">
        <f t="shared" ca="1" si="14"/>
        <v>0</v>
      </c>
      <c r="T47" s="41">
        <f t="shared" ca="1" si="14"/>
        <v>0</v>
      </c>
      <c r="U47" s="41">
        <f t="shared" ca="1" si="14"/>
        <v>-1.6413062763221915</v>
      </c>
      <c r="V47" s="41">
        <f t="shared" ca="1" si="14"/>
        <v>4.3295549257950681</v>
      </c>
      <c r="W47" s="41">
        <f t="shared" ca="1" si="14"/>
        <v>-1.6846376976920543</v>
      </c>
      <c r="X47" s="41">
        <f t="shared" ca="1" si="14"/>
        <v>0</v>
      </c>
      <c r="Y47" s="41">
        <f t="shared" ca="1" si="14"/>
        <v>0</v>
      </c>
      <c r="Z47" s="41">
        <f t="shared" ca="1" si="15"/>
        <v>0</v>
      </c>
      <c r="AA47" s="41">
        <f t="shared" ca="1" si="15"/>
        <v>0</v>
      </c>
      <c r="AB47" s="41">
        <f t="shared" ca="1" si="15"/>
        <v>0</v>
      </c>
      <c r="AC47" s="41">
        <f t="shared" ca="1" si="15"/>
        <v>0</v>
      </c>
      <c r="AD47" s="44">
        <f t="shared" ca="1" si="15"/>
        <v>0</v>
      </c>
    </row>
    <row r="48" spans="1:30" x14ac:dyDescent="0.25">
      <c r="H48" s="36"/>
      <c r="I48" s="26">
        <v>13</v>
      </c>
      <c r="J48" s="44">
        <f t="shared" ca="1" si="14"/>
        <v>0</v>
      </c>
      <c r="K48" s="41">
        <f t="shared" ca="1" si="14"/>
        <v>0</v>
      </c>
      <c r="L48" s="41">
        <f t="shared" ca="1" si="14"/>
        <v>0</v>
      </c>
      <c r="M48" s="41">
        <f t="shared" ca="1" si="14"/>
        <v>0</v>
      </c>
      <c r="N48" s="41">
        <f t="shared" ca="1" si="14"/>
        <v>0</v>
      </c>
      <c r="O48" s="41">
        <f t="shared" ca="1" si="14"/>
        <v>0</v>
      </c>
      <c r="P48" s="41">
        <f t="shared" ca="1" si="14"/>
        <v>0</v>
      </c>
      <c r="Q48" s="41">
        <f t="shared" ca="1" si="14"/>
        <v>0</v>
      </c>
      <c r="R48" s="41">
        <f t="shared" ca="1" si="14"/>
        <v>0</v>
      </c>
      <c r="S48" s="41">
        <f t="shared" ca="1" si="14"/>
        <v>0</v>
      </c>
      <c r="T48" s="41">
        <f t="shared" ca="1" si="14"/>
        <v>0</v>
      </c>
      <c r="U48" s="41">
        <f t="shared" ca="1" si="14"/>
        <v>0</v>
      </c>
      <c r="V48" s="41">
        <f t="shared" ca="1" si="14"/>
        <v>-1.9282112148427393</v>
      </c>
      <c r="W48" s="41">
        <f t="shared" ca="1" si="14"/>
        <v>4.9069757546169859</v>
      </c>
      <c r="X48" s="41">
        <f t="shared" ca="1" si="14"/>
        <v>-1.9751535879934243</v>
      </c>
      <c r="Y48" s="41">
        <f t="shared" ca="1" si="14"/>
        <v>0</v>
      </c>
      <c r="Z48" s="41">
        <f t="shared" ca="1" si="15"/>
        <v>0</v>
      </c>
      <c r="AA48" s="41">
        <f t="shared" ca="1" si="15"/>
        <v>0</v>
      </c>
      <c r="AB48" s="41">
        <f t="shared" ca="1" si="15"/>
        <v>0</v>
      </c>
      <c r="AC48" s="41">
        <f t="shared" ca="1" si="15"/>
        <v>0</v>
      </c>
      <c r="AD48" s="44">
        <f t="shared" ca="1" si="15"/>
        <v>0</v>
      </c>
    </row>
    <row r="49" spans="8:42" x14ac:dyDescent="0.25">
      <c r="H49" s="36"/>
      <c r="I49" s="26">
        <v>14</v>
      </c>
      <c r="J49" s="44">
        <f t="shared" ca="1" si="14"/>
        <v>0</v>
      </c>
      <c r="K49" s="41">
        <f t="shared" ca="1" si="14"/>
        <v>0</v>
      </c>
      <c r="L49" s="41">
        <f t="shared" ca="1" si="14"/>
        <v>0</v>
      </c>
      <c r="M49" s="41">
        <f t="shared" ca="1" si="14"/>
        <v>0</v>
      </c>
      <c r="N49" s="41">
        <f t="shared" ca="1" si="14"/>
        <v>0</v>
      </c>
      <c r="O49" s="41">
        <f t="shared" ca="1" si="14"/>
        <v>0</v>
      </c>
      <c r="P49" s="41">
        <f t="shared" ca="1" si="14"/>
        <v>0</v>
      </c>
      <c r="Q49" s="41">
        <f t="shared" ca="1" si="14"/>
        <v>0</v>
      </c>
      <c r="R49" s="41">
        <f t="shared" ca="1" si="14"/>
        <v>0</v>
      </c>
      <c r="S49" s="41">
        <f t="shared" ca="1" si="14"/>
        <v>0</v>
      </c>
      <c r="T49" s="41">
        <f t="shared" ca="1" si="14"/>
        <v>0</v>
      </c>
      <c r="U49" s="41">
        <f t="shared" ca="1" si="14"/>
        <v>0</v>
      </c>
      <c r="V49" s="41">
        <f t="shared" ca="1" si="14"/>
        <v>0</v>
      </c>
      <c r="W49" s="41">
        <f t="shared" ca="1" si="14"/>
        <v>-2.2382129865161646</v>
      </c>
      <c r="X49" s="41">
        <f t="shared" ca="1" si="14"/>
        <v>5.530590249744658</v>
      </c>
      <c r="Y49" s="41">
        <f t="shared" ca="1" si="14"/>
        <v>-2.2887663114476711</v>
      </c>
      <c r="Z49" s="41">
        <f t="shared" ca="1" si="15"/>
        <v>0</v>
      </c>
      <c r="AA49" s="41">
        <f t="shared" ca="1" si="15"/>
        <v>0</v>
      </c>
      <c r="AB49" s="41">
        <f t="shared" ca="1" si="15"/>
        <v>0</v>
      </c>
      <c r="AC49" s="41">
        <f t="shared" ca="1" si="15"/>
        <v>0</v>
      </c>
      <c r="AD49" s="44">
        <f t="shared" ca="1" si="15"/>
        <v>0</v>
      </c>
    </row>
    <row r="50" spans="8:42" x14ac:dyDescent="0.25">
      <c r="H50" s="36"/>
      <c r="I50" s="26">
        <v>15</v>
      </c>
      <c r="J50" s="44">
        <f t="shared" ca="1" si="14"/>
        <v>0</v>
      </c>
      <c r="K50" s="41">
        <f t="shared" ca="1" si="14"/>
        <v>0</v>
      </c>
      <c r="L50" s="41">
        <f t="shared" ca="1" si="14"/>
        <v>0</v>
      </c>
      <c r="M50" s="41">
        <f t="shared" ca="1" si="14"/>
        <v>0</v>
      </c>
      <c r="N50" s="41">
        <f t="shared" ca="1" si="14"/>
        <v>0</v>
      </c>
      <c r="O50" s="41">
        <f t="shared" ca="1" si="14"/>
        <v>0</v>
      </c>
      <c r="P50" s="41">
        <f t="shared" ca="1" si="14"/>
        <v>0</v>
      </c>
      <c r="Q50" s="41">
        <f t="shared" ca="1" si="14"/>
        <v>0</v>
      </c>
      <c r="R50" s="41">
        <f t="shared" ca="1" si="14"/>
        <v>0</v>
      </c>
      <c r="S50" s="41">
        <f t="shared" ca="1" si="14"/>
        <v>0</v>
      </c>
      <c r="T50" s="41">
        <f t="shared" ca="1" si="14"/>
        <v>0</v>
      </c>
      <c r="U50" s="41">
        <f t="shared" ca="1" si="14"/>
        <v>0</v>
      </c>
      <c r="V50" s="41">
        <f t="shared" ca="1" si="14"/>
        <v>0</v>
      </c>
      <c r="W50" s="41">
        <f t="shared" ca="1" si="14"/>
        <v>0</v>
      </c>
      <c r="X50" s="41">
        <f t="shared" ca="1" si="14"/>
        <v>-2.5713115913424653</v>
      </c>
      <c r="Y50" s="41">
        <f t="shared" ca="1" si="14"/>
        <v>6.2003984111780817</v>
      </c>
      <c r="Z50" s="41">
        <f t="shared" ca="1" si="15"/>
        <v>-2.625475868054794</v>
      </c>
      <c r="AA50" s="41">
        <f t="shared" ca="1" si="15"/>
        <v>0</v>
      </c>
      <c r="AB50" s="41">
        <f t="shared" ca="1" si="15"/>
        <v>0</v>
      </c>
      <c r="AC50" s="41">
        <f t="shared" ca="1" si="15"/>
        <v>0</v>
      </c>
      <c r="AD50" s="44">
        <f t="shared" ca="1" si="15"/>
        <v>0</v>
      </c>
    </row>
    <row r="51" spans="8:42" x14ac:dyDescent="0.25">
      <c r="H51" s="36"/>
      <c r="I51" s="26">
        <v>16</v>
      </c>
      <c r="J51" s="44">
        <f t="shared" ca="1" si="14"/>
        <v>0</v>
      </c>
      <c r="K51" s="41">
        <f t="shared" ca="1" si="14"/>
        <v>0</v>
      </c>
      <c r="L51" s="41">
        <f t="shared" ca="1" si="14"/>
        <v>0</v>
      </c>
      <c r="M51" s="41">
        <f t="shared" ca="1" si="14"/>
        <v>0</v>
      </c>
      <c r="N51" s="41">
        <f t="shared" ca="1" si="14"/>
        <v>0</v>
      </c>
      <c r="O51" s="41">
        <f t="shared" ca="1" si="14"/>
        <v>0</v>
      </c>
      <c r="P51" s="41">
        <f t="shared" ca="1" si="14"/>
        <v>0</v>
      </c>
      <c r="Q51" s="41">
        <f t="shared" ca="1" si="14"/>
        <v>0</v>
      </c>
      <c r="R51" s="41">
        <f t="shared" ca="1" si="14"/>
        <v>0</v>
      </c>
      <c r="S51" s="41">
        <f t="shared" ca="1" si="14"/>
        <v>0</v>
      </c>
      <c r="T51" s="41">
        <f t="shared" ca="1" si="14"/>
        <v>0</v>
      </c>
      <c r="U51" s="41">
        <f t="shared" ca="1" si="14"/>
        <v>0</v>
      </c>
      <c r="V51" s="41">
        <f t="shared" ca="1" si="14"/>
        <v>0</v>
      </c>
      <c r="W51" s="41">
        <f t="shared" ca="1" si="14"/>
        <v>0</v>
      </c>
      <c r="X51" s="41">
        <f t="shared" ca="1" si="14"/>
        <v>0</v>
      </c>
      <c r="Y51" s="41">
        <f t="shared" ca="1" si="14"/>
        <v>-2.9275070293216432</v>
      </c>
      <c r="Z51" s="41">
        <f t="shared" ca="1" si="15"/>
        <v>6.9164002389172596</v>
      </c>
      <c r="AA51" s="41">
        <f t="shared" ca="1" si="15"/>
        <v>-2.9852822578147942</v>
      </c>
      <c r="AB51" s="41">
        <f t="shared" ca="1" si="15"/>
        <v>0</v>
      </c>
      <c r="AC51" s="41">
        <f t="shared" ca="1" si="15"/>
        <v>0</v>
      </c>
      <c r="AD51" s="44">
        <f t="shared" ca="1" si="15"/>
        <v>0</v>
      </c>
    </row>
    <row r="52" spans="8:42" x14ac:dyDescent="0.25">
      <c r="H52" s="36"/>
      <c r="I52" s="26">
        <v>17</v>
      </c>
      <c r="J52" s="44">
        <f t="shared" ref="J52:Y54" ca="1" si="16">IF(J$35/$I52=1,OFFSET($J$30,1,$I52),IF((J$35-1)/$I52=1,OFFSET($J$30,2,$I52),IF((J$35-2)/$I52=1,OFFSET($J$30,3,$I52),0)))</f>
        <v>0</v>
      </c>
      <c r="K52" s="41">
        <f t="shared" ca="1" si="16"/>
        <v>0</v>
      </c>
      <c r="L52" s="41">
        <f t="shared" ca="1" si="16"/>
        <v>0</v>
      </c>
      <c r="M52" s="41">
        <f t="shared" ca="1" si="16"/>
        <v>0</v>
      </c>
      <c r="N52" s="41">
        <f t="shared" ca="1" si="16"/>
        <v>0</v>
      </c>
      <c r="O52" s="41">
        <f t="shared" ca="1" si="16"/>
        <v>0</v>
      </c>
      <c r="P52" s="41">
        <f t="shared" ca="1" si="16"/>
        <v>0</v>
      </c>
      <c r="Q52" s="41">
        <f t="shared" ca="1" si="16"/>
        <v>0</v>
      </c>
      <c r="R52" s="41">
        <f t="shared" ca="1" si="16"/>
        <v>0</v>
      </c>
      <c r="S52" s="41">
        <f t="shared" ca="1" si="16"/>
        <v>0</v>
      </c>
      <c r="T52" s="41">
        <f t="shared" ca="1" si="16"/>
        <v>0</v>
      </c>
      <c r="U52" s="41">
        <f t="shared" ca="1" si="16"/>
        <v>0</v>
      </c>
      <c r="V52" s="41">
        <f t="shared" ca="1" si="16"/>
        <v>0</v>
      </c>
      <c r="W52" s="41">
        <f t="shared" ca="1" si="16"/>
        <v>0</v>
      </c>
      <c r="X52" s="41">
        <f t="shared" ca="1" si="16"/>
        <v>0</v>
      </c>
      <c r="Y52" s="41">
        <f t="shared" ca="1" si="16"/>
        <v>0</v>
      </c>
      <c r="Z52" s="41">
        <f t="shared" ref="Z52:AD54" ca="1" si="17">IF(Z$35/$I52=1,OFFSET($J$30,1,$I52),IF((Z$35-1)/$I52=1,OFFSET($J$30,2,$I52),IF((Z$35-2)/$I52=1,OFFSET($J$30,3,$I52),0)))</f>
        <v>-3.3067993004536982</v>
      </c>
      <c r="AA52" s="41">
        <f t="shared" ca="1" si="17"/>
        <v>7.678595732962191</v>
      </c>
      <c r="AB52" s="41">
        <f t="shared" ca="1" si="17"/>
        <v>-3.3681854807276705</v>
      </c>
      <c r="AC52" s="41">
        <f t="shared" ca="1" si="17"/>
        <v>0</v>
      </c>
      <c r="AD52" s="44">
        <f t="shared" ca="1" si="17"/>
        <v>0</v>
      </c>
    </row>
    <row r="53" spans="8:42" x14ac:dyDescent="0.25">
      <c r="H53" s="36"/>
      <c r="I53" s="26">
        <v>18</v>
      </c>
      <c r="J53" s="44">
        <f t="shared" ca="1" si="16"/>
        <v>0</v>
      </c>
      <c r="K53" s="41">
        <f t="shared" ca="1" si="16"/>
        <v>0</v>
      </c>
      <c r="L53" s="41">
        <f t="shared" ca="1" si="16"/>
        <v>0</v>
      </c>
      <c r="M53" s="41">
        <f t="shared" ca="1" si="16"/>
        <v>0</v>
      </c>
      <c r="N53" s="41">
        <f t="shared" ca="1" si="16"/>
        <v>0</v>
      </c>
      <c r="O53" s="41">
        <f t="shared" ca="1" si="16"/>
        <v>0</v>
      </c>
      <c r="P53" s="41">
        <f t="shared" ca="1" si="16"/>
        <v>0</v>
      </c>
      <c r="Q53" s="41">
        <f t="shared" ca="1" si="16"/>
        <v>0</v>
      </c>
      <c r="R53" s="41">
        <f t="shared" ca="1" si="16"/>
        <v>0</v>
      </c>
      <c r="S53" s="41">
        <f t="shared" ca="1" si="16"/>
        <v>0</v>
      </c>
      <c r="T53" s="41">
        <f t="shared" ca="1" si="16"/>
        <v>0</v>
      </c>
      <c r="U53" s="41">
        <f t="shared" ca="1" si="16"/>
        <v>0</v>
      </c>
      <c r="V53" s="41">
        <f t="shared" ca="1" si="16"/>
        <v>0</v>
      </c>
      <c r="W53" s="41">
        <f t="shared" ca="1" si="16"/>
        <v>0</v>
      </c>
      <c r="X53" s="41">
        <f t="shared" ca="1" si="16"/>
        <v>0</v>
      </c>
      <c r="Y53" s="41">
        <f t="shared" ca="1" si="16"/>
        <v>0</v>
      </c>
      <c r="Z53" s="41">
        <f t="shared" ca="1" si="17"/>
        <v>0</v>
      </c>
      <c r="AA53" s="41">
        <f t="shared" ca="1" si="17"/>
        <v>-3.709188404738629</v>
      </c>
      <c r="AB53" s="41">
        <f t="shared" ca="1" si="17"/>
        <v>8.486984893312874</v>
      </c>
      <c r="AC53" s="41">
        <f t="shared" ca="1" si="17"/>
        <v>-3.7741855367934236</v>
      </c>
      <c r="AD53" s="44">
        <f t="shared" ca="1" si="17"/>
        <v>0</v>
      </c>
    </row>
    <row r="54" spans="8:42" x14ac:dyDescent="0.25">
      <c r="H54" s="36"/>
      <c r="I54" s="26">
        <v>19</v>
      </c>
      <c r="J54" s="44">
        <f t="shared" ca="1" si="16"/>
        <v>0</v>
      </c>
      <c r="K54" s="41">
        <f t="shared" ca="1" si="16"/>
        <v>0</v>
      </c>
      <c r="L54" s="41">
        <f t="shared" ca="1" si="16"/>
        <v>0</v>
      </c>
      <c r="M54" s="41">
        <f t="shared" ca="1" si="16"/>
        <v>0</v>
      </c>
      <c r="N54" s="41">
        <f t="shared" ca="1" si="16"/>
        <v>0</v>
      </c>
      <c r="O54" s="41">
        <f t="shared" ca="1" si="16"/>
        <v>0</v>
      </c>
      <c r="P54" s="41">
        <f t="shared" ca="1" si="16"/>
        <v>0</v>
      </c>
      <c r="Q54" s="41">
        <f t="shared" ca="1" si="16"/>
        <v>0</v>
      </c>
      <c r="R54" s="41">
        <f t="shared" ca="1" si="16"/>
        <v>0</v>
      </c>
      <c r="S54" s="41">
        <f t="shared" ca="1" si="16"/>
        <v>0</v>
      </c>
      <c r="T54" s="41">
        <f t="shared" ca="1" si="16"/>
        <v>0</v>
      </c>
      <c r="U54" s="41">
        <f t="shared" ca="1" si="16"/>
        <v>0</v>
      </c>
      <c r="V54" s="41">
        <f t="shared" ca="1" si="16"/>
        <v>0</v>
      </c>
      <c r="W54" s="41">
        <f t="shared" ca="1" si="16"/>
        <v>0</v>
      </c>
      <c r="X54" s="41">
        <f t="shared" ca="1" si="16"/>
        <v>0</v>
      </c>
      <c r="Y54" s="41">
        <f t="shared" ca="1" si="16"/>
        <v>0</v>
      </c>
      <c r="Z54" s="41">
        <f t="shared" ca="1" si="17"/>
        <v>0</v>
      </c>
      <c r="AA54" s="41">
        <f t="shared" ca="1" si="17"/>
        <v>0</v>
      </c>
      <c r="AB54" s="41">
        <f t="shared" ca="1" si="17"/>
        <v>-4.1346743421764378</v>
      </c>
      <c r="AC54" s="41">
        <f t="shared" ca="1" si="17"/>
        <v>9.3415677199693139</v>
      </c>
      <c r="AD54" s="44">
        <f t="shared" ca="1" si="17"/>
        <v>-4.2032824260120547</v>
      </c>
    </row>
    <row r="55" spans="8:42" x14ac:dyDescent="0.25">
      <c r="H55" s="36"/>
    </row>
    <row r="56" spans="8:42" x14ac:dyDescent="0.25">
      <c r="I56" s="42" t="s">
        <v>21</v>
      </c>
      <c r="K56" s="25">
        <f t="array" aca="1" ref="K56:AC74" ca="1">MINVERSE(K36:AC54)</f>
        <v>0.97448125965148125</v>
      </c>
      <c r="L56" s="25">
        <f ca="1"/>
        <v>1.1917877050214179E-2</v>
      </c>
      <c r="M56" s="25">
        <f ca="1"/>
        <v>4.9589103472879236E-4</v>
      </c>
      <c r="N56" s="25">
        <f ca="1"/>
        <v>4.0539898157340472E-5</v>
      </c>
      <c r="O56" s="25">
        <f ca="1"/>
        <v>5.1523105891975357E-6</v>
      </c>
      <c r="P56" s="25">
        <f ca="1"/>
        <v>8.9512561653059115E-7</v>
      </c>
      <c r="Q56" s="25">
        <f ca="1"/>
        <v>1.9630875996935426E-7</v>
      </c>
      <c r="R56" s="25">
        <f ca="1"/>
        <v>5.1541877814158331E-8</v>
      </c>
      <c r="S56" s="25">
        <f ca="1"/>
        <v>1.5612230286028966E-8</v>
      </c>
      <c r="T56" s="25">
        <f ca="1"/>
        <v>5.3111544583835342E-9</v>
      </c>
      <c r="U56" s="25">
        <f ca="1"/>
        <v>1.9889031189986448E-9</v>
      </c>
      <c r="V56" s="25">
        <f ca="1"/>
        <v>8.0732762831021811E-10</v>
      </c>
      <c r="W56" s="25">
        <f ca="1"/>
        <v>3.5092563003064541E-10</v>
      </c>
      <c r="X56" s="25">
        <f ca="1"/>
        <v>1.6170445054816149E-10</v>
      </c>
      <c r="Y56" s="25">
        <f ca="1"/>
        <v>7.8243741810792188E-11</v>
      </c>
      <c r="Z56" s="25">
        <f ca="1"/>
        <v>3.9295780481569854E-11</v>
      </c>
      <c r="AA56" s="25">
        <f ca="1"/>
        <v>2.0067226200126726E-11</v>
      </c>
      <c r="AB56" s="25">
        <f ca="1"/>
        <v>9.9156788981325265E-12</v>
      </c>
      <c r="AC56" s="25">
        <f ca="1"/>
        <v>4.0061382635828585E-12</v>
      </c>
      <c r="AP56" s="34"/>
    </row>
    <row r="57" spans="8:42" x14ac:dyDescent="0.25">
      <c r="K57" s="25">
        <f ca="1"/>
        <v>3.8003567681284489E-2</v>
      </c>
      <c r="L57" s="25">
        <f ca="1"/>
        <v>0.9163004103645096</v>
      </c>
      <c r="M57" s="25">
        <f ca="1"/>
        <v>3.8126350582707837E-2</v>
      </c>
      <c r="N57" s="25">
        <f ca="1"/>
        <v>3.1168911343181656E-3</v>
      </c>
      <c r="O57" s="25">
        <f ca="1"/>
        <v>3.9613299309227789E-4</v>
      </c>
      <c r="P57" s="25">
        <f ca="1"/>
        <v>6.8821314928737694E-5</v>
      </c>
      <c r="Q57" s="25">
        <f ca="1"/>
        <v>1.5093107317702586E-5</v>
      </c>
      <c r="R57" s="25">
        <f ca="1"/>
        <v>3.9627732013917655E-6</v>
      </c>
      <c r="S57" s="25">
        <f ca="1"/>
        <v>1.2003390333294704E-6</v>
      </c>
      <c r="T57" s="25">
        <f ca="1"/>
        <v>4.0834562978132659E-7</v>
      </c>
      <c r="U57" s="25">
        <f ca="1"/>
        <v>1.5291588732080097E-7</v>
      </c>
      <c r="V57" s="25">
        <f ca="1"/>
        <v>6.2071007613387392E-8</v>
      </c>
      <c r="W57" s="25">
        <f ca="1"/>
        <v>2.6980753153408793E-8</v>
      </c>
      <c r="X57" s="25">
        <f ca="1"/>
        <v>1.243257115094883E-8</v>
      </c>
      <c r="Y57" s="25">
        <f ca="1"/>
        <v>6.0157335427785091E-9</v>
      </c>
      <c r="Z57" s="25">
        <f ca="1"/>
        <v>3.0212377279231172E-9</v>
      </c>
      <c r="AA57" s="25">
        <f ca="1"/>
        <v>1.5428593133307337E-9</v>
      </c>
      <c r="AB57" s="25">
        <f ca="1"/>
        <v>7.6236234063500952E-10</v>
      </c>
      <c r="AC57" s="25">
        <f ca="1"/>
        <v>3.0801006919533277E-10</v>
      </c>
      <c r="AL57" s="26"/>
      <c r="AM57" s="26"/>
      <c r="AN57" s="26"/>
    </row>
    <row r="58" spans="8:42" x14ac:dyDescent="0.25">
      <c r="K58" s="25">
        <f ca="1"/>
        <v>3.1279767986590397E-3</v>
      </c>
      <c r="L58" s="25">
        <f ca="1"/>
        <v>7.5418351462655853E-2</v>
      </c>
      <c r="M58" s="25">
        <f ca="1"/>
        <v>0.83858284727372734</v>
      </c>
      <c r="N58" s="25">
        <f ca="1"/>
        <v>6.8555510876622913E-2</v>
      </c>
      <c r="O58" s="25">
        <f ca="1"/>
        <v>8.7128804139216705E-3</v>
      </c>
      <c r="P58" s="25">
        <f ca="1"/>
        <v>1.51371356932961E-3</v>
      </c>
      <c r="Q58" s="25">
        <f ca="1"/>
        <v>3.319704276765333E-4</v>
      </c>
      <c r="R58" s="25">
        <f ca="1"/>
        <v>8.7160548637202251E-5</v>
      </c>
      <c r="S58" s="25">
        <f ca="1"/>
        <v>2.640126077841176E-5</v>
      </c>
      <c r="T58" s="25">
        <f ca="1"/>
        <v>8.9814953610880786E-6</v>
      </c>
      <c r="U58" s="25">
        <f ca="1"/>
        <v>3.3633599393335462E-6</v>
      </c>
      <c r="V58" s="25">
        <f ca="1"/>
        <v>1.3652416636275592E-6</v>
      </c>
      <c r="W58" s="25">
        <f ca="1"/>
        <v>5.9343725416082598E-7</v>
      </c>
      <c r="X58" s="25">
        <f ca="1"/>
        <v>2.7345236969584113E-7</v>
      </c>
      <c r="Y58" s="25">
        <f ca="1"/>
        <v>1.3231507567973956E-7</v>
      </c>
      <c r="Z58" s="25">
        <f ca="1"/>
        <v>6.6451629842633481E-8</v>
      </c>
      <c r="AA58" s="25">
        <f ca="1"/>
        <v>3.3934938333764445E-8</v>
      </c>
      <c r="AB58" s="25">
        <f ca="1"/>
        <v>1.6768035033332698E-8</v>
      </c>
      <c r="AC58" s="25">
        <f ca="1"/>
        <v>6.7746311112175519E-9</v>
      </c>
      <c r="AE58" s="33"/>
      <c r="AF58" s="33"/>
      <c r="AG58" s="33"/>
      <c r="AH58" s="33"/>
      <c r="AI58" s="33"/>
      <c r="AJ58" s="33"/>
    </row>
    <row r="59" spans="8:42" x14ac:dyDescent="0.25">
      <c r="K59" s="25">
        <f ca="1"/>
        <v>4.1520246054788904E-4</v>
      </c>
      <c r="L59" s="25">
        <f ca="1"/>
        <v>1.0010907085750901E-2</v>
      </c>
      <c r="M59" s="25">
        <f ca="1"/>
        <v>0.11131209851382894</v>
      </c>
      <c r="N59" s="25">
        <f ca="1"/>
        <v>0.75669937869935266</v>
      </c>
      <c r="O59" s="25">
        <f ca="1"/>
        <v>9.6170696003732625E-2</v>
      </c>
      <c r="P59" s="25">
        <f ca="1"/>
        <v>1.6708009360500296E-2</v>
      </c>
      <c r="Q59" s="25">
        <f ca="1"/>
        <v>3.6642104063883464E-3</v>
      </c>
      <c r="R59" s="25">
        <f ca="1"/>
        <v>9.620573482350892E-4</v>
      </c>
      <c r="S59" s="25">
        <f ca="1"/>
        <v>2.914108198224529E-4</v>
      </c>
      <c r="T59" s="25">
        <f ca="1"/>
        <v>9.9135603726409826E-5</v>
      </c>
      <c r="U59" s="25">
        <f ca="1"/>
        <v>3.7123964855520279E-5</v>
      </c>
      <c r="V59" s="25">
        <f ca="1"/>
        <v>1.506921187562354E-5</v>
      </c>
      <c r="W59" s="25">
        <f ca="1"/>
        <v>6.5502188777893265E-6</v>
      </c>
      <c r="X59" s="25">
        <f ca="1"/>
        <v>3.0183020388411668E-6</v>
      </c>
      <c r="Y59" s="25">
        <f ca="1"/>
        <v>1.4604622484632102E-6</v>
      </c>
      <c r="Z59" s="25">
        <f ca="1"/>
        <v>7.3347724161773665E-7</v>
      </c>
      <c r="AA59" s="25">
        <f ca="1"/>
        <v>3.745657559109031E-7</v>
      </c>
      <c r="AB59" s="25">
        <f ca="1"/>
        <v>1.8508157155398723E-7</v>
      </c>
      <c r="AC59" s="25">
        <f ca="1"/>
        <v>7.4776762469196185E-8</v>
      </c>
      <c r="AE59" s="33"/>
      <c r="AF59" s="33"/>
      <c r="AG59" s="33"/>
      <c r="AH59" s="33"/>
      <c r="AI59" s="33"/>
      <c r="AJ59" s="33"/>
    </row>
    <row r="60" spans="8:42" x14ac:dyDescent="0.25">
      <c r="K60" s="25">
        <f ca="1"/>
        <v>7.6869128370579234E-5</v>
      </c>
      <c r="L60" s="25">
        <f ca="1"/>
        <v>1.8533842522635304E-3</v>
      </c>
      <c r="M60" s="25">
        <f ca="1"/>
        <v>2.0607931799265393E-2</v>
      </c>
      <c r="N60" s="25">
        <f ca="1"/>
        <v>0.14009267094039579</v>
      </c>
      <c r="O60" s="25">
        <f ca="1"/>
        <v>0.67975581497657533</v>
      </c>
      <c r="P60" s="25">
        <f ca="1"/>
        <v>0.11809591685852328</v>
      </c>
      <c r="Q60" s="25">
        <f ca="1"/>
        <v>2.5899452063271804E-2</v>
      </c>
      <c r="R60" s="25">
        <f ca="1"/>
        <v>6.8000347712817207E-3</v>
      </c>
      <c r="S60" s="25">
        <f ca="1"/>
        <v>2.0597563244599488E-3</v>
      </c>
      <c r="T60" s="25">
        <f ca="1"/>
        <v>7.0071244052996172E-4</v>
      </c>
      <c r="U60" s="25">
        <f ca="1"/>
        <v>2.6240041960959174E-4</v>
      </c>
      <c r="V60" s="25">
        <f ca="1"/>
        <v>1.065125326655803E-4</v>
      </c>
      <c r="W60" s="25">
        <f ca="1"/>
        <v>4.6298400204713264E-5</v>
      </c>
      <c r="X60" s="25">
        <f ca="1"/>
        <v>2.1334028425647496E-5</v>
      </c>
      <c r="Y60" s="25">
        <f ca="1"/>
        <v>1.0322871178015595E-5</v>
      </c>
      <c r="Z60" s="25">
        <f ca="1"/>
        <v>5.1843798668492906E-6</v>
      </c>
      <c r="AA60" s="25">
        <f ca="1"/>
        <v>2.6475138607882255E-6</v>
      </c>
      <c r="AB60" s="25">
        <f ca="1"/>
        <v>1.3081976083852291E-6</v>
      </c>
      <c r="AC60" s="25">
        <f ca="1"/>
        <v>5.2853874647621764E-7</v>
      </c>
      <c r="AE60" s="33"/>
      <c r="AF60" s="33"/>
      <c r="AG60" s="33"/>
      <c r="AH60" s="33"/>
      <c r="AI60" s="33"/>
      <c r="AJ60" s="33"/>
    </row>
    <row r="61" spans="8:42" x14ac:dyDescent="0.25">
      <c r="K61" s="25">
        <f ca="1"/>
        <v>1.8161787734502842E-5</v>
      </c>
      <c r="L61" s="25">
        <f ca="1"/>
        <v>4.3789713885924292E-4</v>
      </c>
      <c r="M61" s="25">
        <f ca="1"/>
        <v>4.8690142703454861E-3</v>
      </c>
      <c r="N61" s="25">
        <f ca="1"/>
        <v>3.3099547330796029E-2</v>
      </c>
      <c r="O61" s="37">
        <f ca="1"/>
        <v>0.16060518812417909</v>
      </c>
      <c r="P61" s="25">
        <f ca="1"/>
        <v>0.61141196952118471</v>
      </c>
      <c r="Q61" s="25">
        <f ca="1"/>
        <v>0.13408791274718534</v>
      </c>
      <c r="R61" s="25">
        <f ca="1"/>
        <v>3.520547333827511E-2</v>
      </c>
      <c r="S61" s="25">
        <f ca="1"/>
        <v>1.066387140700608E-2</v>
      </c>
      <c r="T61" s="25">
        <f ca="1"/>
        <v>3.6277627942519291E-3</v>
      </c>
      <c r="U61" s="25">
        <f ca="1"/>
        <v>1.3585123146034222E-3</v>
      </c>
      <c r="V61" s="25">
        <f ca="1"/>
        <v>5.5144190508947207E-4</v>
      </c>
      <c r="W61" s="25">
        <f ca="1"/>
        <v>2.3969834696956963E-4</v>
      </c>
      <c r="X61" s="25">
        <f ca="1"/>
        <v>1.1045157770503109E-4</v>
      </c>
      <c r="Y61" s="25">
        <f ca="1"/>
        <v>5.3444074663691203E-5</v>
      </c>
      <c r="Z61" s="25">
        <f ca="1"/>
        <v>2.6840825571756679E-5</v>
      </c>
      <c r="AA61" s="25">
        <f ca="1"/>
        <v>1.3706838534463161E-5</v>
      </c>
      <c r="AB61" s="25">
        <f ca="1"/>
        <v>6.7728647826488293E-6</v>
      </c>
      <c r="AC61" s="25">
        <f ca="1"/>
        <v>2.7363767058806613E-6</v>
      </c>
      <c r="AE61" s="33"/>
      <c r="AF61" s="33"/>
      <c r="AG61" s="33"/>
      <c r="AH61" s="33"/>
      <c r="AI61" s="33"/>
      <c r="AJ61" s="33"/>
    </row>
    <row r="62" spans="8:42" x14ac:dyDescent="0.25">
      <c r="K62" s="25">
        <f ca="1"/>
        <v>5.1656734508747559E-6</v>
      </c>
      <c r="L62" s="25">
        <f ca="1"/>
        <v>1.2454906188127674E-4</v>
      </c>
      <c r="M62" s="25">
        <f ca="1"/>
        <v>1.3848712536416229E-3</v>
      </c>
      <c r="N62" s="25">
        <f ca="1"/>
        <v>9.4143514604481116E-3</v>
      </c>
      <c r="O62" s="25">
        <f ca="1"/>
        <v>4.5680192307815663E-2</v>
      </c>
      <c r="P62" s="25">
        <f ca="1"/>
        <v>0.17390108422545583</v>
      </c>
      <c r="Q62" s="25">
        <f ca="1"/>
        <v>0.55225200190775869</v>
      </c>
      <c r="R62" s="25">
        <f ca="1"/>
        <v>0.14499661252711066</v>
      </c>
      <c r="S62" s="25">
        <f ca="1"/>
        <v>4.392002390036185E-2</v>
      </c>
      <c r="T62" s="25">
        <f ca="1"/>
        <v>1.4941236868601838E-2</v>
      </c>
      <c r="U62" s="25">
        <f ca="1"/>
        <v>5.5951437380535344E-3</v>
      </c>
      <c r="V62" s="25">
        <f ca="1"/>
        <v>2.2711584495738353E-3</v>
      </c>
      <c r="W62" s="25">
        <f ca="1"/>
        <v>9.8721718651485269E-4</v>
      </c>
      <c r="X62" s="25">
        <f ca="1"/>
        <v>4.5490382877746885E-4</v>
      </c>
      <c r="Y62" s="25">
        <f ca="1"/>
        <v>2.2011377922467315E-4</v>
      </c>
      <c r="Z62" s="25">
        <f ca="1"/>
        <v>1.1054612866416429E-4</v>
      </c>
      <c r="AA62" s="25">
        <f ca="1"/>
        <v>5.6452732132207677E-5</v>
      </c>
      <c r="AB62" s="25">
        <f ca="1"/>
        <v>2.7894595853099267E-5</v>
      </c>
      <c r="AC62" s="25">
        <f ca="1"/>
        <v>1.1269990581817558E-5</v>
      </c>
      <c r="AE62" s="33"/>
      <c r="AF62" s="33"/>
      <c r="AG62" s="33"/>
      <c r="AH62" s="33"/>
      <c r="AI62" s="33"/>
      <c r="AJ62" s="33"/>
    </row>
    <row r="63" spans="8:42" x14ac:dyDescent="0.25">
      <c r="K63" s="25">
        <f ca="1"/>
        <v>1.6988979131246245E-6</v>
      </c>
      <c r="L63" s="25">
        <f ca="1"/>
        <v>4.0961966203244816E-5</v>
      </c>
      <c r="M63" s="25">
        <f ca="1"/>
        <v>4.5545946818601542E-4</v>
      </c>
      <c r="N63" s="25">
        <f ca="1"/>
        <v>3.0962123722452157E-3</v>
      </c>
      <c r="O63" s="25">
        <f ca="1"/>
        <v>1.5023400941021106E-2</v>
      </c>
      <c r="P63" s="25">
        <f ca="1"/>
        <v>5.7192966588065407E-2</v>
      </c>
      <c r="Q63" s="25">
        <f ca="1"/>
        <v>0.18162583881509373</v>
      </c>
      <c r="R63" s="25">
        <f ca="1"/>
        <v>0.50153344545717637</v>
      </c>
      <c r="S63" s="25">
        <f ca="1"/>
        <v>0.15191638292371457</v>
      </c>
      <c r="T63" s="25">
        <f ca="1"/>
        <v>5.1680724642450347E-2</v>
      </c>
      <c r="U63" s="25">
        <f ca="1"/>
        <v>1.9353222588213606E-2</v>
      </c>
      <c r="V63" s="25">
        <f ca="1"/>
        <v>7.8557829906610328E-3</v>
      </c>
      <c r="W63" s="25">
        <f ca="1"/>
        <v>3.4147172705483635E-3</v>
      </c>
      <c r="X63" s="25">
        <f ca="1"/>
        <v>1.5734814808571287E-3</v>
      </c>
      <c r="Y63" s="25">
        <f ca="1"/>
        <v>7.6135862875078989E-4</v>
      </c>
      <c r="Z63" s="25">
        <f ca="1"/>
        <v>3.8237155906331469E-4</v>
      </c>
      <c r="AA63" s="25">
        <f ca="1"/>
        <v>1.9526617041790113E-4</v>
      </c>
      <c r="AB63" s="25">
        <f ca="1"/>
        <v>9.6485514551069622E-5</v>
      </c>
      <c r="AC63" s="25">
        <f ca="1"/>
        <v>3.8982132811634182E-5</v>
      </c>
      <c r="AE63" s="33"/>
      <c r="AF63" s="33"/>
      <c r="AG63" s="33"/>
      <c r="AH63" s="33"/>
      <c r="AI63" s="33"/>
      <c r="AJ63" s="33"/>
    </row>
    <row r="64" spans="8:42" x14ac:dyDescent="0.25">
      <c r="K64" s="25">
        <f ca="1"/>
        <v>6.2771320483082527E-7</v>
      </c>
      <c r="L64" s="25">
        <f ca="1"/>
        <v>1.5134733454537237E-5</v>
      </c>
      <c r="M64" s="25">
        <f ca="1"/>
        <v>1.6828434494910974E-4</v>
      </c>
      <c r="N64" s="25">
        <f ca="1"/>
        <v>1.14399657331048E-3</v>
      </c>
      <c r="O64" s="25">
        <f ca="1"/>
        <v>5.5508851234047137E-3</v>
      </c>
      <c r="P64" s="25">
        <f ca="1"/>
        <v>2.1131805550780793E-2</v>
      </c>
      <c r="Q64" s="25">
        <f ca="1"/>
        <v>6.7107585736581044E-2</v>
      </c>
      <c r="R64" s="25">
        <f ca="1"/>
        <v>0.1853078775043949</v>
      </c>
      <c r="S64" s="25">
        <f ca="1"/>
        <v>0.45810354715942458</v>
      </c>
      <c r="T64" s="25">
        <f ca="1"/>
        <v>0.15584312121467866</v>
      </c>
      <c r="U64" s="25">
        <f ca="1"/>
        <v>5.8359603789925281E-2</v>
      </c>
      <c r="V64" s="25">
        <f ca="1"/>
        <v>2.3689097808125309E-2</v>
      </c>
      <c r="W64" s="25">
        <f ca="1"/>
        <v>1.0297073061371337E-2</v>
      </c>
      <c r="X64" s="25">
        <f ca="1"/>
        <v>4.7448302408060646E-3</v>
      </c>
      <c r="Y64" s="25">
        <f ca="1"/>
        <v>2.295875413689346E-3</v>
      </c>
      <c r="Z64" s="25">
        <f ca="1"/>
        <v>1.1530406672975099E-3</v>
      </c>
      <c r="AA64" s="25">
        <f ca="1"/>
        <v>5.8882474415939692E-4</v>
      </c>
      <c r="AB64" s="25">
        <f ca="1"/>
        <v>2.9095187506894934E-4</v>
      </c>
      <c r="AC64" s="25">
        <f ca="1"/>
        <v>1.1755054308933095E-4</v>
      </c>
      <c r="AE64" s="33"/>
      <c r="AF64" s="33"/>
      <c r="AG64" s="33"/>
      <c r="AH64" s="33"/>
      <c r="AI64" s="33"/>
      <c r="AJ64" s="33"/>
    </row>
    <row r="65" spans="7:36" x14ac:dyDescent="0.25">
      <c r="K65" s="25">
        <f ca="1"/>
        <v>2.5508061797316631E-7</v>
      </c>
      <c r="L65" s="25">
        <f ca="1"/>
        <v>6.1502245495743155E-6</v>
      </c>
      <c r="M65" s="25">
        <f ca="1"/>
        <v>6.8384852149792503E-5</v>
      </c>
      <c r="N65" s="25">
        <f ca="1"/>
        <v>4.6488006088364489E-4</v>
      </c>
      <c r="O65" s="25">
        <f ca="1"/>
        <v>2.2556849157852822E-3</v>
      </c>
      <c r="P65" s="25">
        <f ca="1"/>
        <v>8.5872241929890441E-3</v>
      </c>
      <c r="Q65" s="25">
        <f ca="1"/>
        <v>2.7270167822879807E-2</v>
      </c>
      <c r="R65" s="25">
        <f ca="1"/>
        <v>7.5302618369890995E-2</v>
      </c>
      <c r="S65" s="25">
        <f ca="1"/>
        <v>0.18615720524250984</v>
      </c>
      <c r="T65" s="25">
        <f ca="1"/>
        <v>0.42079714698964754</v>
      </c>
      <c r="U65" s="25">
        <f ca="1"/>
        <v>0.15757868927957366</v>
      </c>
      <c r="V65" s="25">
        <f ca="1"/>
        <v>6.3963713603285691E-2</v>
      </c>
      <c r="W65" s="25">
        <f ca="1"/>
        <v>2.7803466285818309E-2</v>
      </c>
      <c r="X65" s="25">
        <f ca="1"/>
        <v>1.2811672486532156E-2</v>
      </c>
      <c r="Y65" s="25">
        <f ca="1"/>
        <v>6.199168859004847E-3</v>
      </c>
      <c r="Z65" s="25">
        <f ca="1"/>
        <v>3.1133631011756942E-3</v>
      </c>
      <c r="AA65" s="25">
        <f ca="1"/>
        <v>1.5899050948669376E-3</v>
      </c>
      <c r="AB65" s="25">
        <f ca="1"/>
        <v>7.8560874542321841E-4</v>
      </c>
      <c r="AC65" s="25">
        <f ca="1"/>
        <v>3.1740209496275835E-4</v>
      </c>
      <c r="AE65" s="33"/>
      <c r="AF65" s="33"/>
      <c r="AG65" s="33"/>
      <c r="AH65" s="33"/>
      <c r="AI65" s="33"/>
      <c r="AJ65" s="33"/>
    </row>
    <row r="66" spans="7:36" x14ac:dyDescent="0.25">
      <c r="K66" s="25">
        <f ca="1"/>
        <v>1.1218467368196053E-7</v>
      </c>
      <c r="L66" s="25">
        <f ca="1"/>
        <v>2.7048740106053809E-6</v>
      </c>
      <c r="M66" s="25">
        <f ca="1"/>
        <v>3.007571639182963E-5</v>
      </c>
      <c r="N66" s="25">
        <f ca="1"/>
        <v>2.0445464789084025E-4</v>
      </c>
      <c r="O66" s="25">
        <f ca="1"/>
        <v>9.9205215283472837E-4</v>
      </c>
      <c r="P66" s="25">
        <f ca="1"/>
        <v>3.7766685355359103E-3</v>
      </c>
      <c r="Q66" s="25">
        <f ca="1"/>
        <v>1.1993443103481506E-2</v>
      </c>
      <c r="R66" s="25">
        <f ca="1"/>
        <v>3.3118155884788204E-2</v>
      </c>
      <c r="S66" s="25">
        <f ca="1"/>
        <v>8.1872097886612663E-2</v>
      </c>
      <c r="T66" s="25">
        <f ca="1"/>
        <v>0.18506694470333934</v>
      </c>
      <c r="U66" s="25">
        <f ca="1"/>
        <v>0.38857833340436343</v>
      </c>
      <c r="V66" s="25">
        <f ca="1"/>
        <v>0.15773016861576733</v>
      </c>
      <c r="W66" s="25">
        <f ca="1"/>
        <v>6.8561457400116502E-2</v>
      </c>
      <c r="X66" s="25">
        <f ca="1"/>
        <v>3.1592713238696328E-2</v>
      </c>
      <c r="Y66" s="25">
        <f ca="1"/>
        <v>1.5286728901841325E-2</v>
      </c>
      <c r="Z66" s="25">
        <f ca="1"/>
        <v>7.6773417184039985E-3</v>
      </c>
      <c r="AA66" s="25">
        <f ca="1"/>
        <v>3.9205978604023349E-3</v>
      </c>
      <c r="AB66" s="25">
        <f ca="1"/>
        <v>1.9372577497636166E-3</v>
      </c>
      <c r="AC66" s="25">
        <f ca="1"/>
        <v>7.8269198483344447E-4</v>
      </c>
      <c r="AE66" s="33"/>
      <c r="AF66" s="33"/>
      <c r="AG66" s="33"/>
      <c r="AH66" s="33"/>
      <c r="AI66" s="33"/>
      <c r="AJ66" s="33"/>
    </row>
    <row r="67" spans="7:36" x14ac:dyDescent="0.25">
      <c r="K67" s="25">
        <f ca="1"/>
        <v>5.2737858378664352E-8</v>
      </c>
      <c r="L67" s="25">
        <f ca="1"/>
        <v>1.2715574937432353E-6</v>
      </c>
      <c r="M67" s="25">
        <f ca="1"/>
        <v>1.4138552260764269E-5</v>
      </c>
      <c r="N67" s="25">
        <f ca="1"/>
        <v>9.6113844355377953E-5</v>
      </c>
      <c r="O67" s="25">
        <f ca="1"/>
        <v>4.6636233117518906E-4</v>
      </c>
      <c r="P67" s="25">
        <f ca="1"/>
        <v>1.7754066026425311E-3</v>
      </c>
      <c r="Q67" s="25">
        <f ca="1"/>
        <v>5.6381008484021168E-3</v>
      </c>
      <c r="R67" s="25">
        <f ca="1"/>
        <v>1.5568798816191078E-2</v>
      </c>
      <c r="S67" s="25">
        <f ca="1"/>
        <v>3.8487958843192907E-2</v>
      </c>
      <c r="T67" s="25">
        <f ca="1"/>
        <v>8.6999712171077478E-2</v>
      </c>
      <c r="U67" s="25">
        <f ca="1"/>
        <v>0.18267013169903271</v>
      </c>
      <c r="V67" s="25">
        <f ca="1"/>
        <v>0.36056608729614026</v>
      </c>
      <c r="W67" s="25">
        <f ca="1"/>
        <v>0.15672928426458177</v>
      </c>
      <c r="X67" s="25">
        <f ca="1"/>
        <v>7.2219925328901174E-2</v>
      </c>
      <c r="Y67" s="25">
        <f ca="1"/>
        <v>3.4944970109812977E-2</v>
      </c>
      <c r="Z67" s="25">
        <f ca="1"/>
        <v>1.7550155994467357E-2</v>
      </c>
      <c r="AA67" s="25">
        <f ca="1"/>
        <v>8.9623604843187665E-3</v>
      </c>
      <c r="AB67" s="25">
        <f ca="1"/>
        <v>4.4285088454953112E-3</v>
      </c>
      <c r="AC67" s="25">
        <f ca="1"/>
        <v>1.7892086783785636E-3</v>
      </c>
      <c r="AE67" s="33"/>
      <c r="AF67" s="33"/>
      <c r="AG67" s="33"/>
      <c r="AH67" s="33"/>
      <c r="AI67" s="33"/>
      <c r="AJ67" s="33"/>
    </row>
    <row r="68" spans="7:36" x14ac:dyDescent="0.25">
      <c r="K68" s="25">
        <f ca="1"/>
        <v>2.6238309613056122E-8</v>
      </c>
      <c r="L68" s="25">
        <f ca="1"/>
        <v>6.3262939067571691E-7</v>
      </c>
      <c r="M68" s="25">
        <f ca="1"/>
        <v>7.034258180047522E-6</v>
      </c>
      <c r="N68" s="25">
        <f ca="1"/>
        <v>4.7818870235309732E-5</v>
      </c>
      <c r="O68" s="25">
        <f ca="1"/>
        <v>2.3202609308442551E-4</v>
      </c>
      <c r="P68" s="25">
        <f ca="1"/>
        <v>8.8330602647385343E-4</v>
      </c>
      <c r="Q68" s="25">
        <f ca="1"/>
        <v>2.805086141872182E-3</v>
      </c>
      <c r="R68" s="25">
        <f ca="1"/>
        <v>7.7458390651651034E-3</v>
      </c>
      <c r="S68" s="25">
        <f ca="1"/>
        <v>1.9148653577309573E-2</v>
      </c>
      <c r="T68" s="25">
        <f ca="1"/>
        <v>4.3284377757648915E-2</v>
      </c>
      <c r="U68" s="25">
        <f ca="1"/>
        <v>9.0882633840815893E-2</v>
      </c>
      <c r="V68" s="25">
        <f ca="1"/>
        <v>0.17939000416959955</v>
      </c>
      <c r="W68" s="25">
        <f ca="1"/>
        <v>0.3359996604224853</v>
      </c>
      <c r="X68" s="25">
        <f ca="1"/>
        <v>0.15482665221187211</v>
      </c>
      <c r="Y68" s="25">
        <f ca="1"/>
        <v>7.4915789639858926E-2</v>
      </c>
      <c r="Z68" s="25">
        <f ca="1"/>
        <v>3.7624407475427148E-2</v>
      </c>
      <c r="AA68" s="25">
        <f ca="1"/>
        <v>1.9213704021205192E-2</v>
      </c>
      <c r="AB68" s="25">
        <f ca="1"/>
        <v>9.4939339208138986E-3</v>
      </c>
      <c r="AC68" s="25">
        <f ca="1"/>
        <v>3.8357446164642276E-3</v>
      </c>
      <c r="AE68" s="33"/>
      <c r="AF68" s="33"/>
      <c r="AG68" s="33"/>
      <c r="AH68" s="33"/>
      <c r="AI68" s="33"/>
      <c r="AJ68" s="33"/>
    </row>
    <row r="69" spans="7:36" x14ac:dyDescent="0.25">
      <c r="K69" s="25">
        <f ca="1"/>
        <v>1.370071639257329E-8</v>
      </c>
      <c r="L69" s="25">
        <f ca="1"/>
        <v>3.3033667149584713E-7</v>
      </c>
      <c r="M69" s="25">
        <f ca="1"/>
        <v>3.6730405951538201E-6</v>
      </c>
      <c r="N69" s="25">
        <f ca="1"/>
        <v>2.4969321155553426E-5</v>
      </c>
      <c r="O69" s="25">
        <f ca="1"/>
        <v>1.2115581163219066E-4</v>
      </c>
      <c r="P69" s="25">
        <f ca="1"/>
        <v>4.6123113626752893E-4</v>
      </c>
      <c r="Q69" s="25">
        <f ca="1"/>
        <v>1.4647166777620785E-3</v>
      </c>
      <c r="R69" s="25">
        <f ca="1"/>
        <v>4.0446029420102307E-3</v>
      </c>
      <c r="S69" s="25">
        <f ca="1"/>
        <v>9.9987489983656419E-3</v>
      </c>
      <c r="T69" s="25">
        <f ca="1"/>
        <v>2.2601569713601763E-2</v>
      </c>
      <c r="U69" s="25">
        <f ca="1"/>
        <v>4.7455693969077763E-2</v>
      </c>
      <c r="V69" s="25">
        <f ca="1"/>
        <v>9.3671109421135976E-2</v>
      </c>
      <c r="W69" s="25">
        <f ca="1"/>
        <v>0.1754471276289363</v>
      </c>
      <c r="X69" s="25">
        <f ca="1"/>
        <v>0.31414030908260998</v>
      </c>
      <c r="Y69" s="25">
        <f ca="1"/>
        <v>0.15200270093309221</v>
      </c>
      <c r="Z69" s="25">
        <f ca="1"/>
        <v>7.6339201452257699E-2</v>
      </c>
      <c r="AA69" s="25">
        <f ca="1"/>
        <v>3.8984237103980732E-2</v>
      </c>
      <c r="AB69" s="25">
        <f ca="1"/>
        <v>1.9263009912615425E-2</v>
      </c>
      <c r="AC69" s="25">
        <f ca="1"/>
        <v>7.7826522899242358E-3</v>
      </c>
      <c r="AE69" s="33"/>
      <c r="AF69" s="33"/>
      <c r="AG69" s="33"/>
      <c r="AH69" s="33"/>
      <c r="AI69" s="33"/>
      <c r="AJ69" s="33"/>
    </row>
    <row r="70" spans="7:36" x14ac:dyDescent="0.25">
      <c r="K70" s="25">
        <f ca="1"/>
        <v>7.4477342181459533E-9</v>
      </c>
      <c r="L70" s="25">
        <f ca="1"/>
        <v>1.7957161226559553E-7</v>
      </c>
      <c r="M70" s="25">
        <f ca="1"/>
        <v>1.9966715127389239E-6</v>
      </c>
      <c r="N70" s="25">
        <f ca="1"/>
        <v>1.3573368154302964E-5</v>
      </c>
      <c r="O70" s="25">
        <f ca="1"/>
        <v>6.5860518396646664E-5</v>
      </c>
      <c r="P70" s="25">
        <f ca="1"/>
        <v>2.5072608012790371E-4</v>
      </c>
      <c r="Q70" s="25">
        <f ca="1"/>
        <v>7.9622263597624776E-4</v>
      </c>
      <c r="R70" s="25">
        <f ca="1"/>
        <v>2.1986534767154328E-3</v>
      </c>
      <c r="S70" s="25">
        <f ca="1"/>
        <v>5.4353380451074114E-3</v>
      </c>
      <c r="T70" s="25">
        <f ca="1"/>
        <v>1.2286254186755484E-2</v>
      </c>
      <c r="U70" s="25">
        <f ca="1"/>
        <v>2.5797001097763752E-2</v>
      </c>
      <c r="V70" s="25">
        <f ca="1"/>
        <v>5.0919784549781258E-2</v>
      </c>
      <c r="W70" s="25">
        <f ca="1"/>
        <v>9.5373375995561782E-2</v>
      </c>
      <c r="X70" s="25">
        <f ca="1"/>
        <v>0.17076724035552907</v>
      </c>
      <c r="Y70" s="25">
        <f ca="1"/>
        <v>0.29403926433306138</v>
      </c>
      <c r="Z70" s="25">
        <f ca="1"/>
        <v>0.14767318275927027</v>
      </c>
      <c r="AA70" s="25">
        <f ca="1"/>
        <v>7.5412452070083999E-2</v>
      </c>
      <c r="AB70" s="25">
        <f ca="1"/>
        <v>3.7263030385487006E-2</v>
      </c>
      <c r="AC70" s="25">
        <f ca="1"/>
        <v>1.5055030863541277E-2</v>
      </c>
      <c r="AE70" s="33"/>
      <c r="AF70" s="33"/>
      <c r="AG70" s="33"/>
      <c r="AH70" s="33"/>
      <c r="AI70" s="33"/>
      <c r="AJ70" s="33"/>
    </row>
    <row r="71" spans="7:36" x14ac:dyDescent="0.25">
      <c r="K71" s="25">
        <f ca="1"/>
        <v>4.1707138413967868E-9</v>
      </c>
      <c r="L71" s="25">
        <f ca="1"/>
        <v>1.0055968524941517E-7</v>
      </c>
      <c r="M71" s="25">
        <f ca="1"/>
        <v>1.1181314035902799E-6</v>
      </c>
      <c r="N71" s="25">
        <f ca="1"/>
        <v>7.6010545996119662E-6</v>
      </c>
      <c r="O71" s="25">
        <f ca="1"/>
        <v>3.6881737134121634E-5</v>
      </c>
      <c r="P71" s="25">
        <f ca="1"/>
        <v>1.40406021772475E-4</v>
      </c>
      <c r="Q71" s="25">
        <f ca="1"/>
        <v>4.4588282441774071E-4</v>
      </c>
      <c r="R71" s="25">
        <f ca="1"/>
        <v>1.2312408336793469E-3</v>
      </c>
      <c r="S71" s="25">
        <f ca="1"/>
        <v>3.0437766646086539E-3</v>
      </c>
      <c r="T71" s="25">
        <f ca="1"/>
        <v>6.8802737711519289E-3</v>
      </c>
      <c r="U71" s="25">
        <f ca="1"/>
        <v>1.4446260620153473E-2</v>
      </c>
      <c r="V71" s="25">
        <f ca="1"/>
        <v>2.8514960926678046E-2</v>
      </c>
      <c r="W71" s="25">
        <f ca="1"/>
        <v>5.34088687531672E-2</v>
      </c>
      <c r="X71" s="25">
        <f ca="1"/>
        <v>9.562925745559675E-2</v>
      </c>
      <c r="Y71" s="25">
        <f ca="1"/>
        <v>0.16466130419639455</v>
      </c>
      <c r="Z71" s="25">
        <f ca="1"/>
        <v>0.27398488134614968</v>
      </c>
      <c r="AA71" s="25">
        <f ca="1"/>
        <v>0.13991620784747463</v>
      </c>
      <c r="AB71" s="25">
        <f ca="1"/>
        <v>6.9135822550859996E-2</v>
      </c>
      <c r="AC71" s="25">
        <f ca="1"/>
        <v>2.7932294596332438E-2</v>
      </c>
      <c r="AE71" s="33"/>
      <c r="AF71" s="33"/>
      <c r="AG71" s="33"/>
      <c r="AH71" s="33"/>
      <c r="AI71" s="33"/>
      <c r="AJ71" s="33"/>
    </row>
    <row r="72" spans="7:36" x14ac:dyDescent="0.25">
      <c r="K72" s="25">
        <f ca="1"/>
        <v>2.3592515965663143E-9</v>
      </c>
      <c r="L72" s="25">
        <f ca="1"/>
        <v>5.6883691137015142E-8</v>
      </c>
      <c r="M72" s="25">
        <f ca="1"/>
        <v>6.3249443606225493E-7</v>
      </c>
      <c r="N72" s="25">
        <f ca="1"/>
        <v>4.299695659224729E-6</v>
      </c>
      <c r="O72" s="25">
        <f ca="1"/>
        <v>2.0862926713925434E-5</v>
      </c>
      <c r="P72" s="25">
        <f ca="1"/>
        <v>7.9423605557963313E-5</v>
      </c>
      <c r="Q72" s="25">
        <f ca="1"/>
        <v>2.5222295400557877E-4</v>
      </c>
      <c r="R72" s="25">
        <f ca="1"/>
        <v>6.9647715309156995E-4</v>
      </c>
      <c r="S72" s="25">
        <f ca="1"/>
        <v>1.7217759905494511E-3</v>
      </c>
      <c r="T72" s="25">
        <f ca="1"/>
        <v>3.891970894355886E-3</v>
      </c>
      <c r="U72" s="25">
        <f ca="1"/>
        <v>8.1718297463188819E-3</v>
      </c>
      <c r="V72" s="25">
        <f ca="1"/>
        <v>1.6130084597163578E-2</v>
      </c>
      <c r="W72" s="25">
        <f ca="1"/>
        <v>3.021184470294681E-2</v>
      </c>
      <c r="X72" s="25">
        <f ca="1"/>
        <v>5.4094691438962159E-2</v>
      </c>
      <c r="Y72" s="25">
        <f ca="1"/>
        <v>9.314411383542269E-2</v>
      </c>
      <c r="Z72" s="25">
        <f ca="1"/>
        <v>0.15498528389434035</v>
      </c>
      <c r="AA72" s="25">
        <f ca="1"/>
        <v>0.25020950963540622</v>
      </c>
      <c r="AB72" s="25">
        <f ca="1"/>
        <v>0.12363428458230159</v>
      </c>
      <c r="AC72" s="25">
        <f ca="1"/>
        <v>4.9950794418033469E-2</v>
      </c>
      <c r="AE72" s="33"/>
      <c r="AF72" s="33"/>
      <c r="AG72" s="33"/>
      <c r="AH72" s="33"/>
      <c r="AI72" s="33"/>
      <c r="AJ72" s="33"/>
    </row>
    <row r="73" spans="7:36" x14ac:dyDescent="0.25">
      <c r="K73" s="25">
        <f ca="1"/>
        <v>1.2837848907064093E-9</v>
      </c>
      <c r="L73" s="25">
        <f ca="1"/>
        <v>3.0953215551742655E-8</v>
      </c>
      <c r="M73" s="25">
        <f ca="1"/>
        <v>3.4417134724179911E-7</v>
      </c>
      <c r="N73" s="25">
        <f ca="1"/>
        <v>2.3396759930065758E-6</v>
      </c>
      <c r="O73" s="25">
        <f ca="1"/>
        <v>1.1352545074138622E-5</v>
      </c>
      <c r="P73" s="25">
        <f ca="1"/>
        <v>4.321829216058894E-5</v>
      </c>
      <c r="Q73" s="25">
        <f ca="1"/>
        <v>1.3724692097822984E-4</v>
      </c>
      <c r="R73" s="25">
        <f ca="1"/>
        <v>3.7898749211932127E-4</v>
      </c>
      <c r="S73" s="25">
        <f ca="1"/>
        <v>9.3690304377264263E-4</v>
      </c>
      <c r="T73" s="25">
        <f ca="1"/>
        <v>2.1178128846092974E-3</v>
      </c>
      <c r="U73" s="25">
        <f ca="1"/>
        <v>4.4466946946302467E-3</v>
      </c>
      <c r="V73" s="25">
        <f ca="1"/>
        <v>8.7771727787713839E-3</v>
      </c>
      <c r="W73" s="25">
        <f ca="1"/>
        <v>1.6439751405259412E-2</v>
      </c>
      <c r="X73" s="25">
        <f ca="1"/>
        <v>2.9435583571433211E-2</v>
      </c>
      <c r="Y73" s="25">
        <f ca="1"/>
        <v>5.0684295890352435E-2</v>
      </c>
      <c r="Z73" s="25">
        <f ca="1"/>
        <v>8.4335119677349302E-2</v>
      </c>
      <c r="AA73" s="25">
        <f ca="1"/>
        <v>0.13615130681632048</v>
      </c>
      <c r="AB73" s="25">
        <f ca="1"/>
        <v>0.21397853666844782</v>
      </c>
      <c r="AC73" s="25">
        <f ca="1"/>
        <v>8.6451730853686931E-2</v>
      </c>
      <c r="AE73" s="33"/>
      <c r="AF73" s="33"/>
      <c r="AG73" s="33"/>
      <c r="AH73" s="33"/>
      <c r="AI73" s="33"/>
      <c r="AJ73" s="33"/>
    </row>
    <row r="74" spans="7:36" x14ac:dyDescent="0.25">
      <c r="K74" s="25">
        <f ca="1"/>
        <v>5.6821645012867377E-10</v>
      </c>
      <c r="L74" s="25">
        <f ca="1"/>
        <v>1.3700212853573089E-8</v>
      </c>
      <c r="M74" s="25">
        <f ca="1"/>
        <v>1.5233379250797091E-7</v>
      </c>
      <c r="N74" s="25">
        <f ca="1"/>
        <v>1.0355647560752518E-6</v>
      </c>
      <c r="O74" s="25">
        <f ca="1"/>
        <v>5.024753686268482E-6</v>
      </c>
      <c r="P74" s="25">
        <f ca="1"/>
        <v>1.9128862420713593E-5</v>
      </c>
      <c r="Q74" s="25">
        <f ca="1"/>
        <v>6.0746904558464005E-5</v>
      </c>
      <c r="R74" s="25">
        <f ca="1"/>
        <v>1.6774377777317018E-4</v>
      </c>
      <c r="S74" s="25">
        <f ca="1"/>
        <v>4.1468296246601301E-4</v>
      </c>
      <c r="T74" s="25">
        <f ca="1"/>
        <v>9.3736585314327684E-4</v>
      </c>
      <c r="U74" s="25">
        <f ca="1"/>
        <v>1.968152992358778E-3</v>
      </c>
      <c r="V74" s="25">
        <f ca="1"/>
        <v>3.8848673127592254E-3</v>
      </c>
      <c r="W74" s="25">
        <f ca="1"/>
        <v>7.2764037434295261E-3</v>
      </c>
      <c r="X74" s="25">
        <f ca="1"/>
        <v>1.302849326667355E-2</v>
      </c>
      <c r="Y74" s="25">
        <f ca="1"/>
        <v>2.2433392772086794E-2</v>
      </c>
      <c r="Z74" s="25">
        <f ca="1"/>
        <v>3.7327594888479899E-2</v>
      </c>
      <c r="AA74" s="25">
        <f ca="1"/>
        <v>6.026197441611883E-2</v>
      </c>
      <c r="AB74" s="25">
        <f ca="1"/>
        <v>9.4709110061710025E-2</v>
      </c>
      <c r="AC74" s="25">
        <f ca="1"/>
        <v>0.14531284192220592</v>
      </c>
      <c r="AE74" s="33"/>
      <c r="AF74" s="33"/>
      <c r="AG74" s="33"/>
      <c r="AH74" s="33"/>
      <c r="AI74" s="33"/>
      <c r="AJ74" s="33"/>
    </row>
    <row r="75" spans="7:36" x14ac:dyDescent="0.25"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</row>
    <row r="76" spans="7:36" x14ac:dyDescent="0.25">
      <c r="G76" s="35" t="s">
        <v>19</v>
      </c>
      <c r="H76" s="35">
        <v>9</v>
      </c>
      <c r="I76" s="35">
        <v>0</v>
      </c>
      <c r="K76" s="30" t="s">
        <v>11</v>
      </c>
      <c r="L76" s="26">
        <f>G29</f>
        <v>54.9</v>
      </c>
      <c r="M76" s="26">
        <f>G28</f>
        <v>49.4</v>
      </c>
      <c r="N76" s="30" t="s">
        <v>20</v>
      </c>
      <c r="O76" s="30">
        <f>G27</f>
        <v>43.9</v>
      </c>
      <c r="P76" s="30" t="s">
        <v>20</v>
      </c>
      <c r="Q76" s="30">
        <f>G26</f>
        <v>38.4</v>
      </c>
      <c r="R76" s="30" t="s">
        <v>20</v>
      </c>
      <c r="S76" s="30">
        <f>G25</f>
        <v>32.9</v>
      </c>
      <c r="T76" s="30" t="s">
        <v>20</v>
      </c>
      <c r="U76" s="30">
        <f>G24</f>
        <v>27.5</v>
      </c>
      <c r="V76" s="30" t="s">
        <v>20</v>
      </c>
      <c r="W76" s="30">
        <f>G23</f>
        <v>22</v>
      </c>
      <c r="X76" s="30" t="s">
        <v>20</v>
      </c>
      <c r="Y76" s="30">
        <f>G22</f>
        <v>16.5</v>
      </c>
      <c r="Z76" s="30" t="s">
        <v>20</v>
      </c>
      <c r="AA76" s="30">
        <f>G21</f>
        <v>11</v>
      </c>
      <c r="AB76" s="30" t="s">
        <v>20</v>
      </c>
      <c r="AC76" s="30">
        <f>G20</f>
        <v>5.5</v>
      </c>
      <c r="AD76" s="30" t="s">
        <v>20</v>
      </c>
      <c r="AE76" s="30">
        <f>G19</f>
        <v>0</v>
      </c>
      <c r="AF76" s="30" t="s">
        <v>20</v>
      </c>
      <c r="AG76" s="33"/>
      <c r="AH76" s="33"/>
      <c r="AI76" s="33"/>
      <c r="AJ76" s="33"/>
    </row>
    <row r="77" spans="7:36" x14ac:dyDescent="0.25">
      <c r="G77" s="26" t="s">
        <v>19</v>
      </c>
      <c r="H77" s="26">
        <v>9</v>
      </c>
      <c r="I77" s="26">
        <f>I76+1</f>
        <v>1</v>
      </c>
      <c r="L77" s="34">
        <f t="shared" ref="L77:L95" ca="1" si="18">OFFSET($J$29,0,I77)</f>
        <v>158.72499999999999</v>
      </c>
      <c r="M77" s="39">
        <f t="array" aca="1" ref="M77:M95" ca="1">MMULT($K$56:$AC$74,L77:L95)</f>
        <v>156.3745403201263</v>
      </c>
      <c r="N77" s="31">
        <f ca="1">MAX(M77,$L77)</f>
        <v>158.72499999999999</v>
      </c>
      <c r="O77" s="39">
        <f t="array" aca="1" ref="O77:O95" ca="1">MMULT($K$56:$AC$74,N77:N95)</f>
        <v>156.37454089518863</v>
      </c>
      <c r="P77" s="31">
        <f t="shared" ref="P77:P95" ca="1" si="19">MAX(O77,$L77)</f>
        <v>158.72499999999999</v>
      </c>
      <c r="Q77" s="39">
        <f t="array" aca="1" ref="Q77:Q95" ca="1">MMULT($K$56:$AC$74,P77:P95)</f>
        <v>156.37454162826492</v>
      </c>
      <c r="R77" s="31">
        <f t="shared" ref="R77:R95" ca="1" si="20">MAX(Q77,$L77)</f>
        <v>158.72499999999999</v>
      </c>
      <c r="S77" s="39">
        <f t="array" aca="1" ref="S77:S95" ca="1">MMULT($K$56:$AC$74,R77:R95)</f>
        <v>156.37454263056867</v>
      </c>
      <c r="T77" s="31">
        <f t="shared" ref="T77:T95" ca="1" si="21">MAX(S77,$L77)</f>
        <v>158.72499999999999</v>
      </c>
      <c r="U77" s="39">
        <f t="array" aca="1" ref="U77:U95" ca="1">MMULT($K$56:$AC$74,T77:T95)</f>
        <v>156.37454375352854</v>
      </c>
      <c r="V77" s="31">
        <f t="shared" ref="V77:V95" ca="1" si="22">MAX(U77,$L77)</f>
        <v>158.72499999999999</v>
      </c>
      <c r="W77" s="39">
        <f t="array" aca="1" ref="W77:W95" ca="1">MMULT($K$56:$AC$74,V77:V95)</f>
        <v>156.37454490878557</v>
      </c>
      <c r="X77" s="31">
        <f t="shared" ref="X77:X95" ca="1" si="23">MAX(W77,$L77)</f>
        <v>158.72499999999999</v>
      </c>
      <c r="Y77" s="39">
        <f t="array" aca="1" ref="Y77:Y95" ca="1">MMULT($K$56:$AC$74,X77:X95)</f>
        <v>156.37454623736292</v>
      </c>
      <c r="Z77" s="31">
        <f t="shared" ref="Z77:Z95" ca="1" si="24">MAX(Y77,$L77)</f>
        <v>158.72499999999999</v>
      </c>
      <c r="AA77" s="39">
        <f t="array" aca="1" ref="AA77:AA95" ca="1">MMULT($K$56:$AC$74,Z77:Z95)</f>
        <v>156.37454823944677</v>
      </c>
      <c r="AB77" s="31">
        <f t="shared" ref="AB77:AB95" ca="1" si="25">MAX(AA77,$L77)</f>
        <v>158.72499999999999</v>
      </c>
      <c r="AC77" s="39">
        <f t="array" aca="1" ref="AC77:AC95" ca="1">MMULT($K$56:$AC$74,AB77:AB95)</f>
        <v>156.37455066741839</v>
      </c>
      <c r="AD77" s="31">
        <f t="shared" ref="AD77:AD95" ca="1" si="26">MAX(AC77,$L77)</f>
        <v>158.72499999999999</v>
      </c>
      <c r="AE77" s="39">
        <f t="array" aca="1" ref="AE77:AE95" ca="1">MMULT($K$56:$AC$74,AD77:AD95)</f>
        <v>156.37455335416649</v>
      </c>
      <c r="AF77" s="31">
        <f t="shared" ref="AF77:AF95" ca="1" si="27">MAX(AE77,$L77)</f>
        <v>158.72499999999999</v>
      </c>
    </row>
    <row r="78" spans="7:36" x14ac:dyDescent="0.25">
      <c r="G78" s="26" t="s">
        <v>19</v>
      </c>
      <c r="H78" s="26">
        <v>9</v>
      </c>
      <c r="I78" s="26">
        <f t="shared" ref="I78:I96" si="28">I77+1</f>
        <v>2</v>
      </c>
      <c r="L78" s="34">
        <f t="shared" ca="1" si="18"/>
        <v>137.44999999999999</v>
      </c>
      <c r="M78" s="39">
        <f ca="1"/>
        <v>136.73600537334681</v>
      </c>
      <c r="N78" s="31">
        <f t="shared" ref="N78:N95" ca="1" si="29">MAX(M78,$L78)</f>
        <v>137.44999999999999</v>
      </c>
      <c r="O78" s="39">
        <f ca="1"/>
        <v>136.73604958673869</v>
      </c>
      <c r="P78" s="31">
        <f t="shared" ca="1" si="19"/>
        <v>137.44999999999999</v>
      </c>
      <c r="Q78" s="39">
        <f ca="1"/>
        <v>136.73610594897207</v>
      </c>
      <c r="R78" s="31">
        <f t="shared" ca="1" si="20"/>
        <v>137.44999999999999</v>
      </c>
      <c r="S78" s="39">
        <f ca="1"/>
        <v>136.73618301062839</v>
      </c>
      <c r="T78" s="31">
        <f t="shared" ca="1" si="21"/>
        <v>137.44999999999999</v>
      </c>
      <c r="U78" s="39">
        <f ca="1"/>
        <v>136.73626934887628</v>
      </c>
      <c r="V78" s="31">
        <f t="shared" ca="1" si="22"/>
        <v>137.44999999999999</v>
      </c>
      <c r="W78" s="39">
        <f ca="1"/>
        <v>136.73635817027062</v>
      </c>
      <c r="X78" s="31">
        <f t="shared" ca="1" si="23"/>
        <v>137.44999999999999</v>
      </c>
      <c r="Y78" s="39">
        <f ca="1"/>
        <v>136.73646031732008</v>
      </c>
      <c r="Z78" s="31">
        <f t="shared" ca="1" si="24"/>
        <v>137.44999999999999</v>
      </c>
      <c r="AA78" s="39">
        <f ca="1"/>
        <v>136.73661424659687</v>
      </c>
      <c r="AB78" s="31">
        <f t="shared" ca="1" si="25"/>
        <v>137.44999999999999</v>
      </c>
      <c r="AC78" s="39">
        <f ca="1"/>
        <v>136.73680092006333</v>
      </c>
      <c r="AD78" s="31">
        <f t="shared" ca="1" si="26"/>
        <v>137.44999999999999</v>
      </c>
      <c r="AE78" s="39">
        <f ca="1"/>
        <v>136.7370074894381</v>
      </c>
      <c r="AF78" s="31">
        <f t="shared" ca="1" si="27"/>
        <v>137.44999999999999</v>
      </c>
    </row>
    <row r="79" spans="7:36" x14ac:dyDescent="0.25">
      <c r="G79" s="26" t="s">
        <v>19</v>
      </c>
      <c r="H79" s="26">
        <v>9</v>
      </c>
      <c r="I79" s="26">
        <f t="shared" si="28"/>
        <v>3</v>
      </c>
      <c r="L79" s="34">
        <f t="shared" ca="1" si="18"/>
        <v>116.17500000000001</v>
      </c>
      <c r="M79" s="39">
        <f ca="1"/>
        <v>115.52291967037209</v>
      </c>
      <c r="N79" s="31">
        <f t="shared" ca="1" si="29"/>
        <v>116.17500000000001</v>
      </c>
      <c r="O79" s="39">
        <f ca="1"/>
        <v>115.52389213669734</v>
      </c>
      <c r="P79" s="31">
        <f t="shared" ca="1" si="19"/>
        <v>116.17500000000001</v>
      </c>
      <c r="Q79" s="39">
        <f ca="1"/>
        <v>115.52513181480444</v>
      </c>
      <c r="R79" s="31">
        <f t="shared" ca="1" si="20"/>
        <v>116.17500000000001</v>
      </c>
      <c r="S79" s="39">
        <f ca="1"/>
        <v>115.52682677333655</v>
      </c>
      <c r="T79" s="31">
        <f t="shared" ca="1" si="21"/>
        <v>116.17500000000001</v>
      </c>
      <c r="U79" s="39">
        <f ca="1"/>
        <v>115.5287257689811</v>
      </c>
      <c r="V79" s="31">
        <f t="shared" ca="1" si="22"/>
        <v>116.17500000000001</v>
      </c>
      <c r="W79" s="39">
        <f ca="1"/>
        <v>115.53067938102717</v>
      </c>
      <c r="X79" s="31">
        <f t="shared" ca="1" si="23"/>
        <v>116.17500000000001</v>
      </c>
      <c r="Y79" s="39">
        <f ca="1"/>
        <v>115.53292608867908</v>
      </c>
      <c r="Z79" s="31">
        <f t="shared" ca="1" si="24"/>
        <v>116.17500000000001</v>
      </c>
      <c r="AA79" s="39">
        <f ca="1"/>
        <v>115.53631173795355</v>
      </c>
      <c r="AB79" s="31">
        <f t="shared" ca="1" si="25"/>
        <v>116.17500000000001</v>
      </c>
      <c r="AC79" s="39">
        <f ca="1"/>
        <v>115.54041759032781</v>
      </c>
      <c r="AD79" s="31">
        <f t="shared" ca="1" si="26"/>
        <v>116.17500000000001</v>
      </c>
      <c r="AE79" s="39">
        <f ca="1"/>
        <v>115.54496104995148</v>
      </c>
      <c r="AF79" s="31">
        <f t="shared" ca="1" si="27"/>
        <v>116.17500000000001</v>
      </c>
    </row>
    <row r="80" spans="7:36" x14ac:dyDescent="0.25">
      <c r="G80" s="26" t="s">
        <v>19</v>
      </c>
      <c r="H80" s="26">
        <v>9</v>
      </c>
      <c r="I80" s="26">
        <f t="shared" si="28"/>
        <v>4</v>
      </c>
      <c r="L80" s="34">
        <f t="shared" ca="1" si="18"/>
        <v>94.9</v>
      </c>
      <c r="M80" s="39">
        <f ca="1"/>
        <v>94.262881556587814</v>
      </c>
      <c r="N80" s="31">
        <f t="shared" ca="1" si="29"/>
        <v>94.9</v>
      </c>
      <c r="O80" s="39">
        <f ca="1"/>
        <v>94.273615407954736</v>
      </c>
      <c r="P80" s="31">
        <f t="shared" ca="1" si="19"/>
        <v>94.9</v>
      </c>
      <c r="Q80" s="39">
        <f ca="1"/>
        <v>94.287298679239768</v>
      </c>
      <c r="R80" s="31">
        <f t="shared" ca="1" si="20"/>
        <v>94.9</v>
      </c>
      <c r="S80" s="39">
        <f ca="1"/>
        <v>94.306007227273042</v>
      </c>
      <c r="T80" s="31">
        <f t="shared" ca="1" si="21"/>
        <v>94.9</v>
      </c>
      <c r="U80" s="39">
        <f ca="1"/>
        <v>94.32696788829108</v>
      </c>
      <c r="V80" s="31">
        <f t="shared" ca="1" si="22"/>
        <v>94.9</v>
      </c>
      <c r="W80" s="39">
        <f ca="1"/>
        <v>94.348531392122581</v>
      </c>
      <c r="X80" s="31">
        <f t="shared" ca="1" si="23"/>
        <v>94.9</v>
      </c>
      <c r="Y80" s="39">
        <f ca="1"/>
        <v>94.373330015348898</v>
      </c>
      <c r="Z80" s="31">
        <f t="shared" ca="1" si="24"/>
        <v>94.9</v>
      </c>
      <c r="AA80" s="39">
        <f ca="1"/>
        <v>94.410700004569833</v>
      </c>
      <c r="AB80" s="31">
        <f t="shared" ca="1" si="25"/>
        <v>94.9</v>
      </c>
      <c r="AC80" s="39">
        <f ca="1"/>
        <v>94.456019423839138</v>
      </c>
      <c r="AD80" s="31">
        <f t="shared" ca="1" si="26"/>
        <v>94.9</v>
      </c>
      <c r="AE80" s="39">
        <f ca="1"/>
        <v>94.506169047558572</v>
      </c>
      <c r="AF80" s="31">
        <f t="shared" ca="1" si="27"/>
        <v>94.9</v>
      </c>
    </row>
    <row r="81" spans="7:32" x14ac:dyDescent="0.25">
      <c r="G81" s="26" t="s">
        <v>19</v>
      </c>
      <c r="H81" s="26">
        <v>9</v>
      </c>
      <c r="I81" s="26">
        <f t="shared" si="28"/>
        <v>5</v>
      </c>
      <c r="L81" s="34">
        <f t="shared" ca="1" si="18"/>
        <v>73.625</v>
      </c>
      <c r="M81" s="39">
        <f ca="1"/>
        <v>73.056678605716257</v>
      </c>
      <c r="N81" s="31">
        <f t="shared" ca="1" si="29"/>
        <v>73.625</v>
      </c>
      <c r="O81" s="39">
        <f ca="1"/>
        <v>73.132547848499684</v>
      </c>
      <c r="P81" s="31">
        <f t="shared" ca="1" si="19"/>
        <v>73.625</v>
      </c>
      <c r="Q81" s="39">
        <f ca="1"/>
        <v>73.22926424559769</v>
      </c>
      <c r="R81" s="31">
        <f t="shared" ca="1" si="20"/>
        <v>73.625</v>
      </c>
      <c r="S81" s="39">
        <f ca="1"/>
        <v>73.361500413618302</v>
      </c>
      <c r="T81" s="31">
        <f t="shared" ca="1" si="21"/>
        <v>73.625</v>
      </c>
      <c r="U81" s="39">
        <f ca="1"/>
        <v>73.509655015849916</v>
      </c>
      <c r="V81" s="31">
        <f t="shared" ca="1" si="22"/>
        <v>73.625</v>
      </c>
      <c r="W81" s="39">
        <f ca="1"/>
        <v>73.66207064482856</v>
      </c>
      <c r="X81" s="31">
        <f t="shared" ca="1" si="23"/>
        <v>73.66207064482856</v>
      </c>
      <c r="Y81" s="39">
        <f ca="1"/>
        <v>73.837352815406177</v>
      </c>
      <c r="Z81" s="31">
        <f t="shared" ca="1" si="24"/>
        <v>73.837352815406177</v>
      </c>
      <c r="AA81" s="39">
        <f ca="1"/>
        <v>74.101492189811424</v>
      </c>
      <c r="AB81" s="31">
        <f t="shared" ca="1" si="25"/>
        <v>74.101492189811424</v>
      </c>
      <c r="AC81" s="39">
        <f ca="1"/>
        <v>74.42181989939229</v>
      </c>
      <c r="AD81" s="31">
        <f t="shared" ca="1" si="26"/>
        <v>74.42181989939229</v>
      </c>
      <c r="AE81" s="39">
        <f ca="1"/>
        <v>74.776288565615317</v>
      </c>
      <c r="AF81" s="31">
        <f t="shared" ca="1" si="27"/>
        <v>74.776288565615317</v>
      </c>
    </row>
    <row r="82" spans="7:32" x14ac:dyDescent="0.25">
      <c r="G82" s="26" t="s">
        <v>19</v>
      </c>
      <c r="H82" s="26">
        <v>9</v>
      </c>
      <c r="I82" s="26">
        <f t="shared" si="28"/>
        <v>6</v>
      </c>
      <c r="L82" s="34">
        <f t="shared" ca="1" si="18"/>
        <v>52.350000000000009</v>
      </c>
      <c r="M82" s="39">
        <f ca="1"/>
        <v>52.113645573454882</v>
      </c>
      <c r="N82" s="31">
        <f t="shared" ca="1" si="29"/>
        <v>52.350000000000009</v>
      </c>
      <c r="O82" s="39">
        <f ca="1"/>
        <v>52.50643953611047</v>
      </c>
      <c r="P82" s="31">
        <f t="shared" ca="1" si="19"/>
        <v>52.50643953611047</v>
      </c>
      <c r="Q82" s="39">
        <f ca="1"/>
        <v>53.007164407957973</v>
      </c>
      <c r="R82" s="31">
        <f t="shared" ca="1" si="20"/>
        <v>53.007164407957973</v>
      </c>
      <c r="S82" s="39">
        <f ca="1"/>
        <v>53.691783978914593</v>
      </c>
      <c r="T82" s="31">
        <f t="shared" ca="1" si="21"/>
        <v>53.691783978914593</v>
      </c>
      <c r="U82" s="39">
        <f ca="1"/>
        <v>54.458817247749579</v>
      </c>
      <c r="V82" s="31">
        <f t="shared" ca="1" si="22"/>
        <v>54.458817247749579</v>
      </c>
      <c r="W82" s="39">
        <f ca="1"/>
        <v>55.24791091312386</v>
      </c>
      <c r="X82" s="31">
        <f t="shared" ca="1" si="23"/>
        <v>55.24791091312386</v>
      </c>
      <c r="Y82" s="39">
        <f ca="1"/>
        <v>56.030882668897128</v>
      </c>
      <c r="Z82" s="31">
        <f t="shared" ca="1" si="24"/>
        <v>56.030882668897128</v>
      </c>
      <c r="AA82" s="39">
        <f ca="1"/>
        <v>56.809684781505581</v>
      </c>
      <c r="AB82" s="31">
        <f t="shared" ca="1" si="25"/>
        <v>56.809684781505581</v>
      </c>
      <c r="AC82" s="39">
        <f ca="1"/>
        <v>57.580946766578307</v>
      </c>
      <c r="AD82" s="31">
        <f t="shared" ca="1" si="26"/>
        <v>57.580946766578307</v>
      </c>
      <c r="AE82" s="39">
        <f ca="1"/>
        <v>58.340247475596477</v>
      </c>
      <c r="AF82" s="31">
        <f t="shared" ca="1" si="27"/>
        <v>58.340247475596477</v>
      </c>
    </row>
    <row r="83" spans="7:32" x14ac:dyDescent="0.25">
      <c r="G83" s="26" t="s">
        <v>19</v>
      </c>
      <c r="H83" s="26">
        <v>9</v>
      </c>
      <c r="I83" s="26">
        <f t="shared" si="28"/>
        <v>7</v>
      </c>
      <c r="L83" s="34">
        <f t="shared" ca="1" si="18"/>
        <v>31.075000000000017</v>
      </c>
      <c r="M83" s="39">
        <f ca="1"/>
        <v>32.121372241477253</v>
      </c>
      <c r="N83" s="31">
        <f t="shared" ca="1" si="29"/>
        <v>32.121372241477253</v>
      </c>
      <c r="O83" s="39">
        <f ca="1"/>
        <v>33.739126204303297</v>
      </c>
      <c r="P83" s="31">
        <f t="shared" ca="1" si="19"/>
        <v>33.739126204303297</v>
      </c>
      <c r="Q83" s="39">
        <f ca="1"/>
        <v>35.43466919640737</v>
      </c>
      <c r="R83" s="31">
        <f t="shared" ca="1" si="20"/>
        <v>35.43466919640737</v>
      </c>
      <c r="S83" s="39">
        <f ca="1"/>
        <v>37.080506959040868</v>
      </c>
      <c r="T83" s="31">
        <f t="shared" ca="1" si="21"/>
        <v>37.080506959040868</v>
      </c>
      <c r="U83" s="39">
        <f ca="1"/>
        <v>38.634677298076866</v>
      </c>
      <c r="V83" s="31">
        <f t="shared" ca="1" si="22"/>
        <v>38.634677298076866</v>
      </c>
      <c r="W83" s="39">
        <f ca="1"/>
        <v>40.086506953021974</v>
      </c>
      <c r="X83" s="31">
        <f t="shared" ca="1" si="23"/>
        <v>40.086506953021974</v>
      </c>
      <c r="Y83" s="39">
        <f ca="1"/>
        <v>41.438580401583422</v>
      </c>
      <c r="Z83" s="31">
        <f t="shared" ca="1" si="24"/>
        <v>41.438580401583422</v>
      </c>
      <c r="AA83" s="39">
        <f ca="1"/>
        <v>42.702723479457866</v>
      </c>
      <c r="AB83" s="31">
        <f t="shared" ca="1" si="25"/>
        <v>42.702723479457866</v>
      </c>
      <c r="AC83" s="39">
        <f ca="1"/>
        <v>43.890869642773147</v>
      </c>
      <c r="AD83" s="31">
        <f t="shared" ca="1" si="26"/>
        <v>43.890869642773147</v>
      </c>
      <c r="AE83" s="39">
        <f ca="1"/>
        <v>45.01282829674664</v>
      </c>
      <c r="AF83" s="31">
        <f t="shared" ca="1" si="27"/>
        <v>45.01282829674664</v>
      </c>
    </row>
    <row r="84" spans="7:32" x14ac:dyDescent="0.25">
      <c r="G84" s="26" t="s">
        <v>19</v>
      </c>
      <c r="H84" s="26">
        <v>9</v>
      </c>
      <c r="I84" s="26">
        <f t="shared" si="28"/>
        <v>8</v>
      </c>
      <c r="L84" s="34">
        <f t="shared" ca="1" si="18"/>
        <v>9.8000000000000114</v>
      </c>
      <c r="M84" s="39">
        <f ca="1"/>
        <v>15.011843839495757</v>
      </c>
      <c r="N84" s="31">
        <f t="shared" ca="1" si="29"/>
        <v>15.011843839495757</v>
      </c>
      <c r="O84" s="39">
        <f ca="1"/>
        <v>18.798810711537637</v>
      </c>
      <c r="P84" s="31">
        <f t="shared" ca="1" si="19"/>
        <v>18.798810711537637</v>
      </c>
      <c r="Q84" s="39">
        <f ca="1"/>
        <v>21.782014592224812</v>
      </c>
      <c r="R84" s="31">
        <f t="shared" ca="1" si="20"/>
        <v>21.782014592224812</v>
      </c>
      <c r="S84" s="39">
        <f ca="1"/>
        <v>24.27142609960848</v>
      </c>
      <c r="T84" s="31">
        <f t="shared" ca="1" si="21"/>
        <v>24.27142609960848</v>
      </c>
      <c r="U84" s="39">
        <f ca="1"/>
        <v>26.429588098537799</v>
      </c>
      <c r="V84" s="31">
        <f t="shared" ca="1" si="22"/>
        <v>26.429588098537799</v>
      </c>
      <c r="W84" s="39">
        <f ca="1"/>
        <v>28.347355408003455</v>
      </c>
      <c r="X84" s="31">
        <f t="shared" ca="1" si="23"/>
        <v>28.347355408003455</v>
      </c>
      <c r="Y84" s="39">
        <f ca="1"/>
        <v>30.079668152265782</v>
      </c>
      <c r="Z84" s="31">
        <f t="shared" ca="1" si="24"/>
        <v>30.079668152265782</v>
      </c>
      <c r="AA84" s="39">
        <f ca="1"/>
        <v>31.663842541563724</v>
      </c>
      <c r="AB84" s="31">
        <f t="shared" ca="1" si="25"/>
        <v>31.663842541563724</v>
      </c>
      <c r="AC84" s="39">
        <f ca="1"/>
        <v>33.126707819390745</v>
      </c>
      <c r="AD84" s="31">
        <f t="shared" ca="1" si="26"/>
        <v>33.126707819390745</v>
      </c>
      <c r="AE84" s="39">
        <f ca="1"/>
        <v>34.488071818413289</v>
      </c>
      <c r="AF84" s="31">
        <f t="shared" ca="1" si="27"/>
        <v>34.488071818413289</v>
      </c>
    </row>
    <row r="85" spans="7:32" x14ac:dyDescent="0.25">
      <c r="G85" s="26" t="s">
        <v>19</v>
      </c>
      <c r="H85" s="26">
        <v>9</v>
      </c>
      <c r="I85" s="26">
        <f t="shared" si="28"/>
        <v>9</v>
      </c>
      <c r="L85" s="34">
        <f t="shared" ca="1" si="18"/>
        <v>0</v>
      </c>
      <c r="M85" s="39">
        <f ca="1"/>
        <v>5.5466149755747667</v>
      </c>
      <c r="N85" s="31">
        <f t="shared" ca="1" si="29"/>
        <v>5.5466149755747667</v>
      </c>
      <c r="O85" s="39">
        <f ca="1"/>
        <v>9.5468787189410946</v>
      </c>
      <c r="P85" s="31">
        <f t="shared" ca="1" si="19"/>
        <v>9.5468787189410946</v>
      </c>
      <c r="Q85" s="39">
        <f ca="1"/>
        <v>12.716029554017965</v>
      </c>
      <c r="R85" s="31">
        <f t="shared" ca="1" si="20"/>
        <v>12.716029554017965</v>
      </c>
      <c r="S85" s="39">
        <f ca="1"/>
        <v>15.373310273326167</v>
      </c>
      <c r="T85" s="31">
        <f t="shared" ca="1" si="21"/>
        <v>15.373310273326167</v>
      </c>
      <c r="U85" s="39">
        <f ca="1"/>
        <v>17.683061603029856</v>
      </c>
      <c r="V85" s="31">
        <f t="shared" ca="1" si="22"/>
        <v>17.683061603029856</v>
      </c>
      <c r="W85" s="39">
        <f ca="1"/>
        <v>19.73907494791009</v>
      </c>
      <c r="X85" s="31">
        <f t="shared" ca="1" si="23"/>
        <v>19.73907494791009</v>
      </c>
      <c r="Y85" s="39">
        <f ca="1"/>
        <v>21.599241115035877</v>
      </c>
      <c r="Z85" s="31">
        <f t="shared" ca="1" si="24"/>
        <v>21.599241115035877</v>
      </c>
      <c r="AA85" s="39">
        <f ca="1"/>
        <v>23.302180231402929</v>
      </c>
      <c r="AB85" s="31">
        <f t="shared" ca="1" si="25"/>
        <v>23.302180231402929</v>
      </c>
      <c r="AC85" s="39">
        <f ca="1"/>
        <v>24.875257962791903</v>
      </c>
      <c r="AD85" s="31">
        <f t="shared" ca="1" si="26"/>
        <v>24.875257962791903</v>
      </c>
      <c r="AE85" s="39">
        <f ca="1"/>
        <v>26.338674320539109</v>
      </c>
      <c r="AF85" s="31">
        <f t="shared" ca="1" si="27"/>
        <v>26.338674320539109</v>
      </c>
    </row>
    <row r="86" spans="7:32" x14ac:dyDescent="0.25">
      <c r="G86" s="26" t="s">
        <v>19</v>
      </c>
      <c r="H86" s="26">
        <v>9</v>
      </c>
      <c r="I86" s="26">
        <f t="shared" si="28"/>
        <v>10</v>
      </c>
      <c r="L86" s="34">
        <f t="shared" ca="1" si="18"/>
        <v>0</v>
      </c>
      <c r="M86" s="39">
        <f ca="1"/>
        <v>2.2539496775603776</v>
      </c>
      <c r="N86" s="31">
        <f t="shared" ca="1" si="29"/>
        <v>2.2539496775603776</v>
      </c>
      <c r="O86" s="39">
        <f ca="1"/>
        <v>4.8505247230662105</v>
      </c>
      <c r="P86" s="31">
        <f t="shared" ca="1" si="19"/>
        <v>4.8505247230662105</v>
      </c>
      <c r="Q86" s="39">
        <f ca="1"/>
        <v>7.337977870098908</v>
      </c>
      <c r="R86" s="31">
        <f t="shared" ca="1" si="20"/>
        <v>7.337977870098908</v>
      </c>
      <c r="S86" s="39">
        <f ca="1"/>
        <v>9.6296132798460405</v>
      </c>
      <c r="T86" s="31">
        <f t="shared" ca="1" si="21"/>
        <v>9.6296132798460405</v>
      </c>
      <c r="U86" s="39">
        <f ca="1"/>
        <v>11.729363206228248</v>
      </c>
      <c r="V86" s="31">
        <f t="shared" ca="1" si="22"/>
        <v>11.729363206228248</v>
      </c>
      <c r="W86" s="39">
        <f ca="1"/>
        <v>13.660079186640242</v>
      </c>
      <c r="X86" s="31">
        <f t="shared" ca="1" si="23"/>
        <v>13.660079186640242</v>
      </c>
      <c r="Y86" s="39">
        <f ca="1"/>
        <v>15.444997857189231</v>
      </c>
      <c r="Z86" s="31">
        <f t="shared" ca="1" si="24"/>
        <v>15.444997857189231</v>
      </c>
      <c r="AA86" s="39">
        <f ca="1"/>
        <v>17.103895963282017</v>
      </c>
      <c r="AB86" s="31">
        <f t="shared" ca="1" si="25"/>
        <v>17.103895963282017</v>
      </c>
      <c r="AC86" s="39">
        <f ca="1"/>
        <v>18.652935109385801</v>
      </c>
      <c r="AD86" s="31">
        <f t="shared" ca="1" si="26"/>
        <v>18.652935109385801</v>
      </c>
      <c r="AE86" s="39">
        <f ca="1"/>
        <v>20.105241188614251</v>
      </c>
      <c r="AF86" s="40">
        <f ca="1">MAX(AE86,$L86)</f>
        <v>20.105241188614251</v>
      </c>
    </row>
    <row r="87" spans="7:32" x14ac:dyDescent="0.25">
      <c r="G87" s="26" t="s">
        <v>19</v>
      </c>
      <c r="H87" s="26">
        <v>9</v>
      </c>
      <c r="I87" s="26">
        <f t="shared" si="28"/>
        <v>11</v>
      </c>
      <c r="L87" s="34">
        <f t="shared" ca="1" si="18"/>
        <v>0</v>
      </c>
      <c r="M87" s="39">
        <f ca="1"/>
        <v>0.99128899358112399</v>
      </c>
      <c r="N87" s="31">
        <f t="shared" ca="1" si="29"/>
        <v>0.99128899358112399</v>
      </c>
      <c r="O87" s="39">
        <f ca="1"/>
        <v>2.5275031846585665</v>
      </c>
      <c r="P87" s="31">
        <f t="shared" ca="1" si="19"/>
        <v>2.5275031846585665</v>
      </c>
      <c r="Q87" s="39">
        <f ca="1"/>
        <v>4.2688675778800356</v>
      </c>
      <c r="R87" s="31">
        <f t="shared" ca="1" si="20"/>
        <v>4.2688675778800356</v>
      </c>
      <c r="S87" s="39">
        <f ca="1"/>
        <v>6.0462175474927706</v>
      </c>
      <c r="T87" s="31">
        <f t="shared" ca="1" si="21"/>
        <v>6.0462175474927706</v>
      </c>
      <c r="U87" s="39">
        <f ca="1"/>
        <v>7.7852960405980003</v>
      </c>
      <c r="V87" s="31">
        <f t="shared" ca="1" si="22"/>
        <v>7.7852960405980003</v>
      </c>
      <c r="W87" s="39">
        <f ca="1"/>
        <v>9.456399474036072</v>
      </c>
      <c r="X87" s="31">
        <f t="shared" ca="1" si="23"/>
        <v>9.456399474036072</v>
      </c>
      <c r="Y87" s="39">
        <f ca="1"/>
        <v>11.049577066933605</v>
      </c>
      <c r="Z87" s="31">
        <f t="shared" ca="1" si="24"/>
        <v>11.049577066933605</v>
      </c>
      <c r="AA87" s="39">
        <f ca="1"/>
        <v>12.563453324146101</v>
      </c>
      <c r="AB87" s="31">
        <f t="shared" ca="1" si="25"/>
        <v>12.563453324146101</v>
      </c>
      <c r="AC87" s="39">
        <f ca="1"/>
        <v>14.000298246373267</v>
      </c>
      <c r="AD87" s="31">
        <f t="shared" ca="1" si="26"/>
        <v>14.000298246373267</v>
      </c>
      <c r="AE87" s="39">
        <f ca="1"/>
        <v>15.363833589120006</v>
      </c>
      <c r="AF87" s="31">
        <f t="shared" ca="1" si="27"/>
        <v>15.363833589120006</v>
      </c>
    </row>
    <row r="88" spans="7:32" x14ac:dyDescent="0.25">
      <c r="G88" s="26" t="s">
        <v>19</v>
      </c>
      <c r="H88" s="26">
        <v>9</v>
      </c>
      <c r="I88" s="26">
        <f t="shared" si="28"/>
        <v>12</v>
      </c>
      <c r="L88" s="34">
        <f t="shared" ca="1" si="18"/>
        <v>0</v>
      </c>
      <c r="M88" s="39">
        <f ca="1"/>
        <v>0.46600357107618429</v>
      </c>
      <c r="N88" s="31">
        <f t="shared" ca="1" si="29"/>
        <v>0.46600357107618429</v>
      </c>
      <c r="O88" s="39">
        <f ca="1"/>
        <v>1.3599931126722467</v>
      </c>
      <c r="P88" s="31">
        <f t="shared" ca="1" si="19"/>
        <v>1.3599931126722467</v>
      </c>
      <c r="Q88" s="39">
        <f ca="1"/>
        <v>2.5253717790683612</v>
      </c>
      <c r="R88" s="31">
        <f t="shared" ca="1" si="20"/>
        <v>2.5253717790683612</v>
      </c>
      <c r="S88" s="39">
        <f ca="1"/>
        <v>3.8327704421917672</v>
      </c>
      <c r="T88" s="31">
        <f t="shared" ca="1" si="21"/>
        <v>3.8327704421917672</v>
      </c>
      <c r="U88" s="39">
        <f ca="1"/>
        <v>5.1987124463656889</v>
      </c>
      <c r="V88" s="31">
        <f t="shared" ca="1" si="22"/>
        <v>5.1987124463656889</v>
      </c>
      <c r="W88" s="39">
        <f ca="1"/>
        <v>6.5737736303165955</v>
      </c>
      <c r="X88" s="31">
        <f t="shared" ca="1" si="23"/>
        <v>6.5737736303165955</v>
      </c>
      <c r="Y88" s="39">
        <f ca="1"/>
        <v>7.9296583121449826</v>
      </c>
      <c r="Z88" s="31">
        <f t="shared" ca="1" si="24"/>
        <v>7.9296583121449826</v>
      </c>
      <c r="AA88" s="39">
        <f ca="1"/>
        <v>9.2504788719005067</v>
      </c>
      <c r="AB88" s="31">
        <f t="shared" ca="1" si="25"/>
        <v>9.2504788719005067</v>
      </c>
      <c r="AC88" s="39">
        <f ca="1"/>
        <v>10.527581120019521</v>
      </c>
      <c r="AD88" s="31">
        <f t="shared" ca="1" si="26"/>
        <v>10.527581120019521</v>
      </c>
      <c r="AE88" s="39">
        <f ca="1"/>
        <v>11.756580096400784</v>
      </c>
      <c r="AF88" s="31">
        <f t="shared" ca="1" si="27"/>
        <v>11.756580096400784</v>
      </c>
    </row>
    <row r="89" spans="7:32" x14ac:dyDescent="0.25">
      <c r="G89" s="26" t="s">
        <v>19</v>
      </c>
      <c r="H89" s="26">
        <v>9</v>
      </c>
      <c r="I89" s="26">
        <f t="shared" si="28"/>
        <v>13</v>
      </c>
      <c r="L89" s="34">
        <f t="shared" ca="1" si="18"/>
        <v>0</v>
      </c>
      <c r="M89" s="39">
        <f ca="1"/>
        <v>0.2318476016013829</v>
      </c>
      <c r="N89" s="31">
        <f t="shared" ca="1" si="29"/>
        <v>0.2318476016013829</v>
      </c>
      <c r="O89" s="39">
        <f ca="1"/>
        <v>0.75609994379320489</v>
      </c>
      <c r="P89" s="31">
        <f t="shared" ca="1" si="19"/>
        <v>0.75609994379320489</v>
      </c>
      <c r="Q89" s="39">
        <f ca="1"/>
        <v>1.5239024794537741</v>
      </c>
      <c r="R89" s="31">
        <f t="shared" ca="1" si="20"/>
        <v>1.5239024794537741</v>
      </c>
      <c r="S89" s="39">
        <f ca="1"/>
        <v>2.4605430386214753</v>
      </c>
      <c r="T89" s="31">
        <f t="shared" ca="1" si="21"/>
        <v>2.4605430386214753</v>
      </c>
      <c r="U89" s="39">
        <f ca="1"/>
        <v>3.5006253222175778</v>
      </c>
      <c r="V89" s="31">
        <f t="shared" ca="1" si="22"/>
        <v>3.5006253222175778</v>
      </c>
      <c r="W89" s="39">
        <f ca="1"/>
        <v>4.5956194369236858</v>
      </c>
      <c r="X89" s="31">
        <f t="shared" ca="1" si="23"/>
        <v>4.5956194369236858</v>
      </c>
      <c r="Y89" s="39">
        <f ca="1"/>
        <v>5.7118378612928202</v>
      </c>
      <c r="Z89" s="31">
        <f t="shared" ca="1" si="24"/>
        <v>5.7118378612928202</v>
      </c>
      <c r="AA89" s="39">
        <f ca="1"/>
        <v>6.8265854885050761</v>
      </c>
      <c r="AB89" s="31">
        <f t="shared" ca="1" si="25"/>
        <v>6.8265854885050761</v>
      </c>
      <c r="AC89" s="39">
        <f ca="1"/>
        <v>7.9248401357290437</v>
      </c>
      <c r="AD89" s="31">
        <f t="shared" ca="1" si="26"/>
        <v>7.9248401357290437</v>
      </c>
      <c r="AE89" s="39">
        <f ca="1"/>
        <v>8.9968434574559293</v>
      </c>
      <c r="AF89" s="31">
        <f t="shared" ca="1" si="27"/>
        <v>8.9968434574559293</v>
      </c>
    </row>
    <row r="90" spans="7:32" x14ac:dyDescent="0.25">
      <c r="G90" s="26" t="s">
        <v>19</v>
      </c>
      <c r="H90" s="26">
        <v>9</v>
      </c>
      <c r="I90" s="26">
        <f t="shared" si="28"/>
        <v>14</v>
      </c>
      <c r="L90" s="34">
        <f t="shared" ca="1" si="18"/>
        <v>0</v>
      </c>
      <c r="M90" s="39">
        <f ca="1"/>
        <v>0.12106260969869263</v>
      </c>
      <c r="N90" s="31">
        <f t="shared" ca="1" si="29"/>
        <v>0.12106260969869263</v>
      </c>
      <c r="O90" s="39">
        <f ca="1"/>
        <v>0.43336504254598701</v>
      </c>
      <c r="P90" s="31">
        <f t="shared" ca="1" si="19"/>
        <v>0.43336504254598701</v>
      </c>
      <c r="Q90" s="39">
        <f ca="1"/>
        <v>0.93775106933424301</v>
      </c>
      <c r="R90" s="31">
        <f t="shared" ca="1" si="20"/>
        <v>0.93775106933424301</v>
      </c>
      <c r="S90" s="39">
        <f ca="1"/>
        <v>1.5996384397181382</v>
      </c>
      <c r="T90" s="31">
        <f t="shared" ca="1" si="21"/>
        <v>1.5996384397181382</v>
      </c>
      <c r="U90" s="39">
        <f ca="1"/>
        <v>2.375878478615419</v>
      </c>
      <c r="V90" s="31">
        <f t="shared" ca="1" si="22"/>
        <v>2.375878478615419</v>
      </c>
      <c r="W90" s="39">
        <f ca="1"/>
        <v>3.227264873551094</v>
      </c>
      <c r="X90" s="31">
        <f t="shared" ca="1" si="23"/>
        <v>3.227264873551094</v>
      </c>
      <c r="Y90" s="39">
        <f ca="1"/>
        <v>4.1222993618771335</v>
      </c>
      <c r="Z90" s="31">
        <f t="shared" ca="1" si="24"/>
        <v>4.1222993618771335</v>
      </c>
      <c r="AA90" s="39">
        <f ca="1"/>
        <v>5.0371649954902109</v>
      </c>
      <c r="AB90" s="31">
        <f t="shared" ca="1" si="25"/>
        <v>5.0371649954902109</v>
      </c>
      <c r="AC90" s="39">
        <f ca="1"/>
        <v>5.9544802021663124</v>
      </c>
      <c r="AD90" s="31">
        <f t="shared" ca="1" si="26"/>
        <v>5.9544802021663124</v>
      </c>
      <c r="AE90" s="39">
        <f ca="1"/>
        <v>6.8618881439916981</v>
      </c>
      <c r="AF90" s="31">
        <f t="shared" ca="1" si="27"/>
        <v>6.8618881439916981</v>
      </c>
    </row>
    <row r="91" spans="7:32" x14ac:dyDescent="0.25">
      <c r="G91" s="26" t="s">
        <v>19</v>
      </c>
      <c r="H91" s="26">
        <v>9</v>
      </c>
      <c r="I91" s="26">
        <f t="shared" si="28"/>
        <v>15</v>
      </c>
      <c r="L91" s="34">
        <f t="shared" ca="1" si="18"/>
        <v>0</v>
      </c>
      <c r="M91" s="39">
        <f ca="1"/>
        <v>6.5809853656977529E-2</v>
      </c>
      <c r="N91" s="31">
        <f t="shared" ca="1" si="29"/>
        <v>6.5809853656977529E-2</v>
      </c>
      <c r="O91" s="39">
        <f ca="1"/>
        <v>0.25489240774224264</v>
      </c>
      <c r="P91" s="31">
        <f t="shared" ca="1" si="19"/>
        <v>0.25489240774224264</v>
      </c>
      <c r="Q91" s="39">
        <f ca="1"/>
        <v>0.58640043406400477</v>
      </c>
      <c r="R91" s="31">
        <f t="shared" ca="1" si="20"/>
        <v>0.58640043406400477</v>
      </c>
      <c r="S91" s="39">
        <f ca="1"/>
        <v>1.0494624521294373</v>
      </c>
      <c r="T91" s="31">
        <f t="shared" ca="1" si="21"/>
        <v>1.0494624521294373</v>
      </c>
      <c r="U91" s="39">
        <f ca="1"/>
        <v>1.6188751263260921</v>
      </c>
      <c r="V91" s="31">
        <f t="shared" ca="1" si="22"/>
        <v>1.6188751263260921</v>
      </c>
      <c r="W91" s="39">
        <f ca="1"/>
        <v>2.2662104180921228</v>
      </c>
      <c r="X91" s="31">
        <f t="shared" ca="1" si="23"/>
        <v>2.2662104180921228</v>
      </c>
      <c r="Y91" s="39">
        <f ca="1"/>
        <v>2.9654290487445758</v>
      </c>
      <c r="Z91" s="31">
        <f t="shared" ca="1" si="24"/>
        <v>2.9654290487445758</v>
      </c>
      <c r="AA91" s="39">
        <f ca="1"/>
        <v>3.6949355258782259</v>
      </c>
      <c r="AB91" s="31">
        <f t="shared" ca="1" si="25"/>
        <v>3.6949355258782259</v>
      </c>
      <c r="AC91" s="39">
        <f ca="1"/>
        <v>4.4378253010158177</v>
      </c>
      <c r="AD91" s="31">
        <f t="shared" ca="1" si="26"/>
        <v>4.4378253010158177</v>
      </c>
      <c r="AE91" s="39">
        <f ca="1"/>
        <v>5.1813763329122295</v>
      </c>
      <c r="AF91" s="31">
        <f t="shared" ca="1" si="27"/>
        <v>5.1813763329122295</v>
      </c>
    </row>
    <row r="92" spans="7:32" x14ac:dyDescent="0.25">
      <c r="G92" s="26" t="s">
        <v>19</v>
      </c>
      <c r="H92" s="26">
        <v>9</v>
      </c>
      <c r="I92" s="26">
        <f t="shared" si="28"/>
        <v>16</v>
      </c>
      <c r="L92" s="34">
        <f t="shared" ca="1" si="18"/>
        <v>0</v>
      </c>
      <c r="M92" s="39">
        <f ca="1"/>
        <v>3.6853364997734971E-2</v>
      </c>
      <c r="N92" s="31">
        <f t="shared" ca="1" si="29"/>
        <v>3.6853364997734971E-2</v>
      </c>
      <c r="O92" s="39">
        <f ca="1"/>
        <v>0.15247067170525919</v>
      </c>
      <c r="P92" s="31">
        <f t="shared" ca="1" si="19"/>
        <v>0.15247067170525919</v>
      </c>
      <c r="Q92" s="39">
        <f ca="1"/>
        <v>0.3693706460489849</v>
      </c>
      <c r="R92" s="31">
        <f t="shared" ca="1" si="20"/>
        <v>0.3693706460489849</v>
      </c>
      <c r="S92" s="39">
        <f ca="1"/>
        <v>0.68845272839828764</v>
      </c>
      <c r="T92" s="31">
        <f t="shared" ca="1" si="21"/>
        <v>0.68845272839828764</v>
      </c>
      <c r="U92" s="39">
        <f ca="1"/>
        <v>1.0965952772160712</v>
      </c>
      <c r="V92" s="31">
        <f t="shared" ca="1" si="22"/>
        <v>1.0965952772160712</v>
      </c>
      <c r="W92" s="39">
        <f ca="1"/>
        <v>1.5746588350005495</v>
      </c>
      <c r="X92" s="31">
        <f t="shared" ca="1" si="23"/>
        <v>1.5746588350005495</v>
      </c>
      <c r="Y92" s="39">
        <f ca="1"/>
        <v>2.1028245123872273</v>
      </c>
      <c r="Z92" s="31">
        <f t="shared" ca="1" si="24"/>
        <v>2.1028245123872273</v>
      </c>
      <c r="AA92" s="39">
        <f ca="1"/>
        <v>2.6633353061776428</v>
      </c>
      <c r="AB92" s="31">
        <f t="shared" ca="1" si="25"/>
        <v>2.6633353061776428</v>
      </c>
      <c r="AC92" s="39">
        <f ca="1"/>
        <v>3.241517303178298</v>
      </c>
      <c r="AD92" s="31">
        <f t="shared" ca="1" si="26"/>
        <v>3.241517303178298</v>
      </c>
      <c r="AE92" s="39">
        <f ca="1"/>
        <v>3.8258663430754369</v>
      </c>
      <c r="AF92" s="31">
        <f t="shared" ca="1" si="27"/>
        <v>3.8258663430754369</v>
      </c>
    </row>
    <row r="93" spans="7:32" x14ac:dyDescent="0.25">
      <c r="G93" s="26" t="s">
        <v>19</v>
      </c>
      <c r="H93" s="26">
        <v>9</v>
      </c>
      <c r="I93" s="26">
        <f t="shared" si="28"/>
        <v>17</v>
      </c>
      <c r="L93" s="34">
        <f t="shared" ca="1" si="18"/>
        <v>0</v>
      </c>
      <c r="M93" s="39">
        <f ca="1"/>
        <v>2.0846877421019306E-2</v>
      </c>
      <c r="N93" s="31">
        <f t="shared" ca="1" si="29"/>
        <v>2.0846877421019306E-2</v>
      </c>
      <c r="O93" s="39">
        <f ca="1"/>
        <v>9.094467001086641E-2</v>
      </c>
      <c r="P93" s="31">
        <f t="shared" ca="1" si="19"/>
        <v>9.094467001086641E-2</v>
      </c>
      <c r="Q93" s="39">
        <f ca="1"/>
        <v>0.2296443354268102</v>
      </c>
      <c r="R93" s="31">
        <f t="shared" ca="1" si="20"/>
        <v>0.2296443354268102</v>
      </c>
      <c r="S93" s="39">
        <f ca="1"/>
        <v>0.44214755909757725</v>
      </c>
      <c r="T93" s="31">
        <f t="shared" ca="1" si="21"/>
        <v>0.44214755909757725</v>
      </c>
      <c r="U93" s="39">
        <f ca="1"/>
        <v>0.72246796475440445</v>
      </c>
      <c r="V93" s="31">
        <f t="shared" ca="1" si="22"/>
        <v>0.72246796475440445</v>
      </c>
      <c r="W93" s="39">
        <f ca="1"/>
        <v>1.0585359318155037</v>
      </c>
      <c r="X93" s="31">
        <f t="shared" ca="1" si="23"/>
        <v>1.0585359318155037</v>
      </c>
      <c r="Y93" s="39">
        <f ca="1"/>
        <v>1.4363810083606585</v>
      </c>
      <c r="Z93" s="31">
        <f t="shared" ca="1" si="24"/>
        <v>1.4363810083606585</v>
      </c>
      <c r="AA93" s="39">
        <f ca="1"/>
        <v>1.8426795979769295</v>
      </c>
      <c r="AB93" s="31">
        <f t="shared" ca="1" si="25"/>
        <v>1.8426795979769295</v>
      </c>
      <c r="AC93" s="39">
        <f ca="1"/>
        <v>2.2659602664524985</v>
      </c>
      <c r="AD93" s="31">
        <f t="shared" ca="1" si="26"/>
        <v>2.2659602664524985</v>
      </c>
      <c r="AE93" s="39">
        <f ca="1"/>
        <v>2.6969610424262598</v>
      </c>
      <c r="AF93" s="31">
        <f t="shared" ca="1" si="27"/>
        <v>2.6969610424262598</v>
      </c>
    </row>
    <row r="94" spans="7:32" x14ac:dyDescent="0.25">
      <c r="G94" s="26" t="s">
        <v>19</v>
      </c>
      <c r="H94" s="26">
        <v>9</v>
      </c>
      <c r="I94" s="26">
        <f t="shared" si="28"/>
        <v>18</v>
      </c>
      <c r="L94" s="34">
        <f t="shared" ca="1" si="18"/>
        <v>0</v>
      </c>
      <c r="M94" s="39">
        <f ca="1"/>
        <v>1.134381186409464E-2</v>
      </c>
      <c r="N94" s="31">
        <f t="shared" ca="1" si="29"/>
        <v>1.134381186409464E-2</v>
      </c>
      <c r="O94" s="39">
        <f ca="1"/>
        <v>5.1449235238666062E-2</v>
      </c>
      <c r="P94" s="31">
        <f t="shared" ca="1" si="19"/>
        <v>5.1449235238666062E-2</v>
      </c>
      <c r="Q94" s="39">
        <f ca="1"/>
        <v>0.13389011760600383</v>
      </c>
      <c r="R94" s="31">
        <f t="shared" ca="1" si="20"/>
        <v>0.13389011760600383</v>
      </c>
      <c r="S94" s="39">
        <f ca="1"/>
        <v>0.26389669738276017</v>
      </c>
      <c r="T94" s="31">
        <f t="shared" ca="1" si="21"/>
        <v>0.26389669738276017</v>
      </c>
      <c r="U94" s="39">
        <f ca="1"/>
        <v>0.43915971526870157</v>
      </c>
      <c r="V94" s="31">
        <f t="shared" ca="1" si="22"/>
        <v>0.43915971526870157</v>
      </c>
      <c r="W94" s="39">
        <f ca="1"/>
        <v>0.65273150870635888</v>
      </c>
      <c r="X94" s="31">
        <f t="shared" ca="1" si="23"/>
        <v>0.65273150870635888</v>
      </c>
      <c r="Y94" s="39">
        <f ca="1"/>
        <v>0.89580414754942683</v>
      </c>
      <c r="Z94" s="31">
        <f t="shared" ca="1" si="24"/>
        <v>0.89580414754942683</v>
      </c>
      <c r="AA94" s="39">
        <f ca="1"/>
        <v>1.1595844067636727</v>
      </c>
      <c r="AB94" s="31">
        <f t="shared" ca="1" si="25"/>
        <v>1.1595844067636727</v>
      </c>
      <c r="AC94" s="39">
        <f ca="1"/>
        <v>1.4362825658471154</v>
      </c>
      <c r="AD94" s="31">
        <f t="shared" ca="1" si="26"/>
        <v>1.4362825658471154</v>
      </c>
      <c r="AE94" s="39">
        <f ca="1"/>
        <v>1.7194840284522028</v>
      </c>
      <c r="AF94" s="31">
        <f t="shared" ca="1" si="27"/>
        <v>1.7194840284522028</v>
      </c>
    </row>
    <row r="95" spans="7:32" x14ac:dyDescent="0.25">
      <c r="G95" s="26" t="s">
        <v>19</v>
      </c>
      <c r="H95" s="26">
        <v>9</v>
      </c>
      <c r="I95" s="26">
        <f t="shared" si="28"/>
        <v>19</v>
      </c>
      <c r="L95" s="34">
        <f t="shared" ca="1" si="18"/>
        <v>0</v>
      </c>
      <c r="M95" s="39">
        <f ca="1"/>
        <v>5.0208882773161382E-3</v>
      </c>
      <c r="N95" s="31">
        <f t="shared" ca="1" si="29"/>
        <v>5.0208882773161382E-3</v>
      </c>
      <c r="O95" s="39">
        <f ca="1"/>
        <v>2.3309440949376738E-2</v>
      </c>
      <c r="P95" s="31">
        <f t="shared" ca="1" si="19"/>
        <v>2.3309440949376738E-2</v>
      </c>
      <c r="Q95" s="39">
        <f ca="1"/>
        <v>6.1756387383744366E-2</v>
      </c>
      <c r="R95" s="31">
        <f t="shared" ca="1" si="20"/>
        <v>6.1756387383744366E-2</v>
      </c>
      <c r="S95" s="39">
        <f ca="1"/>
        <v>0.1234143267593986</v>
      </c>
      <c r="T95" s="31">
        <f t="shared" ca="1" si="21"/>
        <v>0.1234143267593986</v>
      </c>
      <c r="U95" s="39">
        <f ca="1"/>
        <v>0.20758793296044092</v>
      </c>
      <c r="V95" s="31">
        <f t="shared" ca="1" si="22"/>
        <v>0.20758793296044092</v>
      </c>
      <c r="W95" s="39">
        <f ca="1"/>
        <v>0.3111276652339342</v>
      </c>
      <c r="X95" s="31">
        <f t="shared" ca="1" si="23"/>
        <v>0.3111276652339342</v>
      </c>
      <c r="Y95" s="39">
        <f ca="1"/>
        <v>0.42979788939912267</v>
      </c>
      <c r="Z95" s="31">
        <f t="shared" ca="1" si="24"/>
        <v>0.42979788939912267</v>
      </c>
      <c r="AA95" s="39">
        <f ca="1"/>
        <v>0.55925321533181871</v>
      </c>
      <c r="AB95" s="31">
        <f t="shared" ca="1" si="25"/>
        <v>0.55925321533181871</v>
      </c>
      <c r="AC95" s="39">
        <f ca="1"/>
        <v>0.69558066517731909</v>
      </c>
      <c r="AD95" s="31">
        <f t="shared" ca="1" si="26"/>
        <v>0.69558066517731909</v>
      </c>
      <c r="AE95" s="39">
        <f ca="1"/>
        <v>0.83552219427966223</v>
      </c>
      <c r="AF95" s="31">
        <f t="shared" ca="1" si="27"/>
        <v>0.83552219427966223</v>
      </c>
    </row>
    <row r="96" spans="7:32" x14ac:dyDescent="0.25">
      <c r="G96" s="35" t="s">
        <v>19</v>
      </c>
      <c r="H96" s="35">
        <v>9</v>
      </c>
      <c r="I96" s="35">
        <f t="shared" si="28"/>
        <v>20</v>
      </c>
    </row>
    <row r="97" spans="13:38" x14ac:dyDescent="0.25">
      <c r="AK97" s="38"/>
    </row>
    <row r="98" spans="13:38" x14ac:dyDescent="0.25"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K98" s="38"/>
    </row>
    <row r="99" spans="13:38" x14ac:dyDescent="0.25">
      <c r="M99" s="43"/>
      <c r="AK99" s="38"/>
    </row>
    <row r="100" spans="13:38" x14ac:dyDescent="0.25">
      <c r="AL100" s="30"/>
    </row>
    <row r="101" spans="13:38" x14ac:dyDescent="0.25">
      <c r="O101" s="26"/>
      <c r="AL101" s="32"/>
    </row>
    <row r="102" spans="13:38" x14ac:dyDescent="0.25">
      <c r="O102" s="26"/>
      <c r="AL102" s="32"/>
    </row>
    <row r="103" spans="13:38" x14ac:dyDescent="0.25">
      <c r="O103" s="26"/>
      <c r="AL103" s="32"/>
    </row>
    <row r="104" spans="13:38" x14ac:dyDescent="0.25">
      <c r="O104" s="26"/>
      <c r="AL104" s="32"/>
    </row>
    <row r="105" spans="13:38" x14ac:dyDescent="0.25">
      <c r="O105" s="26"/>
      <c r="AL105" s="32"/>
    </row>
    <row r="106" spans="13:38" x14ac:dyDescent="0.25">
      <c r="O106" s="26"/>
      <c r="AL106" s="32"/>
    </row>
    <row r="107" spans="13:38" x14ac:dyDescent="0.25">
      <c r="O107" s="26"/>
      <c r="AL107" s="32"/>
    </row>
    <row r="108" spans="13:38" x14ac:dyDescent="0.25">
      <c r="O108" s="26"/>
      <c r="AL108" s="32"/>
    </row>
    <row r="109" spans="13:38" x14ac:dyDescent="0.25">
      <c r="O109" s="26"/>
      <c r="AL109" s="32"/>
    </row>
    <row r="110" spans="13:38" x14ac:dyDescent="0.25">
      <c r="O110" s="26"/>
      <c r="AL110" s="32"/>
    </row>
    <row r="111" spans="13:38" x14ac:dyDescent="0.25">
      <c r="O111" s="26"/>
      <c r="AL111" s="32"/>
    </row>
    <row r="112" spans="13:38" x14ac:dyDescent="0.25">
      <c r="O112" s="26"/>
      <c r="AL112" s="32"/>
    </row>
    <row r="113" spans="13:38" x14ac:dyDescent="0.25">
      <c r="O113" s="26"/>
      <c r="AL113" s="32"/>
    </row>
    <row r="114" spans="13:38" x14ac:dyDescent="0.25">
      <c r="O114" s="26"/>
      <c r="AL114" s="32"/>
    </row>
    <row r="115" spans="13:38" x14ac:dyDescent="0.25">
      <c r="O115" s="26"/>
      <c r="AL115" s="32"/>
    </row>
    <row r="116" spans="13:38" x14ac:dyDescent="0.25">
      <c r="O116" s="26"/>
      <c r="AL116" s="32"/>
    </row>
    <row r="117" spans="13:38" x14ac:dyDescent="0.25">
      <c r="O117" s="26"/>
      <c r="AL117" s="32"/>
    </row>
    <row r="118" spans="13:38" x14ac:dyDescent="0.25">
      <c r="O118" s="26"/>
      <c r="AL118" s="32"/>
    </row>
    <row r="119" spans="13:38" x14ac:dyDescent="0.25">
      <c r="O119" s="26"/>
      <c r="AL119" s="32"/>
    </row>
    <row r="120" spans="13:38" x14ac:dyDescent="0.25">
      <c r="AK120" s="38"/>
    </row>
    <row r="121" spans="13:38" x14ac:dyDescent="0.25">
      <c r="M121" s="38"/>
      <c r="R121" s="33"/>
    </row>
    <row r="122" spans="13:38" x14ac:dyDescent="0.25">
      <c r="M122" s="38"/>
      <c r="R122" s="33"/>
    </row>
    <row r="123" spans="13:38" x14ac:dyDescent="0.25">
      <c r="R123" s="33"/>
    </row>
    <row r="124" spans="13:38" x14ac:dyDescent="0.25">
      <c r="R124" s="33"/>
    </row>
    <row r="125" spans="13:38" x14ac:dyDescent="0.25">
      <c r="R125" s="33"/>
    </row>
    <row r="126" spans="13:38" x14ac:dyDescent="0.25">
      <c r="R126" s="33"/>
    </row>
    <row r="127" spans="13:38" x14ac:dyDescent="0.25">
      <c r="R127" s="33"/>
    </row>
    <row r="128" spans="13:38" x14ac:dyDescent="0.25">
      <c r="R128" s="33"/>
    </row>
    <row r="129" spans="18:18" x14ac:dyDescent="0.25">
      <c r="R129" s="33"/>
    </row>
    <row r="130" spans="18:18" x14ac:dyDescent="0.25">
      <c r="R130" s="33"/>
    </row>
    <row r="131" spans="18:18" x14ac:dyDescent="0.25">
      <c r="R131" s="33"/>
    </row>
    <row r="132" spans="18:18" x14ac:dyDescent="0.25">
      <c r="R132" s="33"/>
    </row>
    <row r="133" spans="18:18" x14ac:dyDescent="0.25">
      <c r="R133" s="33"/>
    </row>
    <row r="134" spans="18:18" x14ac:dyDescent="0.25">
      <c r="R134" s="33"/>
    </row>
    <row r="135" spans="18:18" x14ac:dyDescent="0.25">
      <c r="R135" s="33"/>
    </row>
    <row r="136" spans="18:18" x14ac:dyDescent="0.25">
      <c r="R136" s="33"/>
    </row>
    <row r="137" spans="18:18" x14ac:dyDescent="0.25">
      <c r="R137" s="33"/>
    </row>
    <row r="138" spans="18:18" x14ac:dyDescent="0.25">
      <c r="R138" s="33"/>
    </row>
    <row r="139" spans="18:18" x14ac:dyDescent="0.25">
      <c r="R139" s="33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BH203"/>
  <sheetViews>
    <sheetView topLeftCell="A31" zoomScaleNormal="100" workbookViewId="0">
      <selection activeCell="C21" sqref="C21"/>
    </sheetView>
  </sheetViews>
  <sheetFormatPr defaultRowHeight="15" x14ac:dyDescent="0.25"/>
  <cols>
    <col min="1" max="1" width="17.140625" style="1" bestFit="1" customWidth="1"/>
    <col min="2" max="2" width="13.85546875" bestFit="1" customWidth="1"/>
    <col min="8" max="8" width="12" bestFit="1" customWidth="1"/>
    <col min="9" max="9" width="13" bestFit="1" customWidth="1"/>
    <col min="11" max="13" width="13.85546875" bestFit="1" customWidth="1"/>
    <col min="14" max="14" width="20.85546875" bestFit="1" customWidth="1"/>
    <col min="15" max="15" width="14" bestFit="1" customWidth="1"/>
    <col min="16" max="29" width="20.85546875" bestFit="1" customWidth="1"/>
    <col min="30" max="30" width="14" bestFit="1" customWidth="1"/>
    <col min="31" max="31" width="13.85546875" bestFit="1" customWidth="1"/>
    <col min="32" max="33" width="14" bestFit="1" customWidth="1"/>
    <col min="34" max="35" width="13.85546875" bestFit="1" customWidth="1"/>
    <col min="36" max="36" width="14" bestFit="1" customWidth="1"/>
    <col min="37" max="59" width="13.85546875" bestFit="1" customWidth="1"/>
  </cols>
  <sheetData>
    <row r="6" spans="1:20" x14ac:dyDescent="0.25">
      <c r="T6" t="s">
        <v>24</v>
      </c>
    </row>
    <row r="10" spans="1:20" x14ac:dyDescent="0.25">
      <c r="T10" t="s">
        <v>25</v>
      </c>
    </row>
    <row r="16" spans="1:20" x14ac:dyDescent="0.25">
      <c r="A16" s="1" t="s">
        <v>42</v>
      </c>
      <c r="B16" t="s">
        <v>73</v>
      </c>
      <c r="K16" s="48" t="s">
        <v>39</v>
      </c>
    </row>
    <row r="17" spans="1:60" x14ac:dyDescent="0.25">
      <c r="A17" s="1" t="s">
        <v>7</v>
      </c>
      <c r="B17" s="74">
        <v>7.1232876712328766E-2</v>
      </c>
      <c r="I17" s="5" t="s">
        <v>5</v>
      </c>
      <c r="J17" s="5">
        <v>0</v>
      </c>
      <c r="K17" s="5">
        <f>J17+1</f>
        <v>1</v>
      </c>
      <c r="L17" s="5">
        <f t="shared" ref="L17:AD17" si="0">K17+1</f>
        <v>2</v>
      </c>
      <c r="M17" s="5">
        <f t="shared" si="0"/>
        <v>3</v>
      </c>
      <c r="N17" s="5">
        <f t="shared" si="0"/>
        <v>4</v>
      </c>
      <c r="O17" s="5">
        <f t="shared" si="0"/>
        <v>5</v>
      </c>
      <c r="P17" s="5">
        <f t="shared" si="0"/>
        <v>6</v>
      </c>
      <c r="Q17" s="5">
        <f t="shared" si="0"/>
        <v>7</v>
      </c>
      <c r="R17" s="5">
        <f t="shared" si="0"/>
        <v>8</v>
      </c>
      <c r="S17" s="5">
        <f t="shared" si="0"/>
        <v>9</v>
      </c>
      <c r="T17" s="5">
        <f t="shared" si="0"/>
        <v>10</v>
      </c>
      <c r="U17" s="5">
        <f t="shared" si="0"/>
        <v>11</v>
      </c>
      <c r="V17" s="5">
        <f t="shared" si="0"/>
        <v>12</v>
      </c>
      <c r="W17" s="5">
        <f t="shared" si="0"/>
        <v>13</v>
      </c>
      <c r="X17" s="5">
        <f t="shared" si="0"/>
        <v>14</v>
      </c>
      <c r="Y17" s="5">
        <f t="shared" si="0"/>
        <v>15</v>
      </c>
      <c r="Z17" s="5">
        <f t="shared" si="0"/>
        <v>16</v>
      </c>
      <c r="AA17" s="5">
        <f t="shared" si="0"/>
        <v>17</v>
      </c>
      <c r="AB17" s="5">
        <f t="shared" si="0"/>
        <v>18</v>
      </c>
      <c r="AC17" s="5">
        <f t="shared" si="0"/>
        <v>19</v>
      </c>
      <c r="AD17" s="5">
        <f t="shared" si="0"/>
        <v>20</v>
      </c>
      <c r="AE17" s="30">
        <f t="shared" ref="AE17" si="1">AD17+1</f>
        <v>21</v>
      </c>
      <c r="AF17" s="30">
        <f t="shared" ref="AF17" si="2">AE17+1</f>
        <v>22</v>
      </c>
      <c r="AG17" s="30">
        <f t="shared" ref="AG17" si="3">AF17+1</f>
        <v>23</v>
      </c>
      <c r="AH17" s="30">
        <f t="shared" ref="AH17" si="4">AG17+1</f>
        <v>24</v>
      </c>
      <c r="AI17" s="30">
        <f t="shared" ref="AI17" si="5">AH17+1</f>
        <v>25</v>
      </c>
      <c r="AJ17" s="30">
        <f t="shared" ref="AJ17" si="6">AI17+1</f>
        <v>26</v>
      </c>
      <c r="AK17" s="30">
        <f t="shared" ref="AK17" si="7">AJ17+1</f>
        <v>27</v>
      </c>
      <c r="AL17" s="30">
        <f t="shared" ref="AL17" si="8">AK17+1</f>
        <v>28</v>
      </c>
      <c r="AM17" s="30">
        <f t="shared" ref="AM17" si="9">AL17+1</f>
        <v>29</v>
      </c>
      <c r="AN17" s="30">
        <f t="shared" ref="AN17" si="10">AM17+1</f>
        <v>30</v>
      </c>
      <c r="AO17" s="30">
        <f t="shared" ref="AO17" si="11">AN17+1</f>
        <v>31</v>
      </c>
      <c r="AP17" s="30">
        <f t="shared" ref="AP17" si="12">AO17+1</f>
        <v>32</v>
      </c>
      <c r="AQ17" s="30">
        <f t="shared" ref="AQ17" si="13">AP17+1</f>
        <v>33</v>
      </c>
      <c r="AR17" s="30">
        <f t="shared" ref="AR17" si="14">AQ17+1</f>
        <v>34</v>
      </c>
      <c r="AS17" s="30">
        <f t="shared" ref="AS17" si="15">AR17+1</f>
        <v>35</v>
      </c>
      <c r="AT17" s="30">
        <f t="shared" ref="AT17" si="16">AS17+1</f>
        <v>36</v>
      </c>
      <c r="AU17" s="30">
        <f t="shared" ref="AU17" si="17">AT17+1</f>
        <v>37</v>
      </c>
      <c r="AV17" s="30">
        <f t="shared" ref="AV17" si="18">AU17+1</f>
        <v>38</v>
      </c>
      <c r="AW17" s="30">
        <f t="shared" ref="AW17" si="19">AV17+1</f>
        <v>39</v>
      </c>
      <c r="AX17" s="30">
        <f t="shared" ref="AX17" si="20">AW17+1</f>
        <v>40</v>
      </c>
      <c r="AY17" s="30">
        <f t="shared" ref="AY17" si="21">AX17+1</f>
        <v>41</v>
      </c>
      <c r="AZ17" s="30">
        <f t="shared" ref="AZ17" si="22">AY17+1</f>
        <v>42</v>
      </c>
      <c r="BA17" s="30">
        <f t="shared" ref="BA17" si="23">AZ17+1</f>
        <v>43</v>
      </c>
      <c r="BB17" s="30">
        <f t="shared" ref="BB17" si="24">BA17+1</f>
        <v>44</v>
      </c>
      <c r="BC17" s="30">
        <f t="shared" ref="BC17" si="25">BB17+1</f>
        <v>45</v>
      </c>
      <c r="BD17" s="30">
        <f t="shared" ref="BD17" si="26">BC17+1</f>
        <v>46</v>
      </c>
      <c r="BE17" s="30">
        <f t="shared" ref="BE17" si="27">BD17+1</f>
        <v>47</v>
      </c>
      <c r="BF17" s="30">
        <f t="shared" ref="BF17" si="28">BE17+1</f>
        <v>48</v>
      </c>
      <c r="BG17" s="30">
        <f t="shared" ref="BG17" si="29">BF17+1</f>
        <v>49</v>
      </c>
      <c r="BH17" s="30">
        <f t="shared" ref="BH17" si="30">BG17+1</f>
        <v>50</v>
      </c>
    </row>
    <row r="18" spans="1:60" x14ac:dyDescent="0.25">
      <c r="A18" s="1" t="s">
        <v>8</v>
      </c>
      <c r="B18" s="1">
        <v>10</v>
      </c>
      <c r="G18" s="5" t="s">
        <v>11</v>
      </c>
      <c r="H18" s="5" t="s">
        <v>8</v>
      </c>
      <c r="J18" s="2">
        <f>$B$23*J17+$B$20</f>
        <v>0</v>
      </c>
      <c r="K18" s="27">
        <f>$B$23*K17+$B$20</f>
        <v>4.5449999999999999</v>
      </c>
      <c r="L18" s="27">
        <f>$B$23*L17+$B$20</f>
        <v>9.09</v>
      </c>
      <c r="M18" s="27">
        <f>$B$23*M17+$B$20</f>
        <v>13.635</v>
      </c>
      <c r="N18" s="27">
        <f t="shared" ref="N18:AC18" si="31">$B$23*N17+$B$20</f>
        <v>18.18</v>
      </c>
      <c r="O18" s="27">
        <f t="shared" si="31"/>
        <v>22.725000000000001</v>
      </c>
      <c r="P18" s="27">
        <f t="shared" si="31"/>
        <v>27.27</v>
      </c>
      <c r="Q18" s="27">
        <f t="shared" si="31"/>
        <v>31.814999999999998</v>
      </c>
      <c r="R18" s="27">
        <f t="shared" si="31"/>
        <v>36.36</v>
      </c>
      <c r="S18" s="27">
        <f t="shared" si="31"/>
        <v>40.905000000000001</v>
      </c>
      <c r="T18" s="27">
        <f t="shared" si="31"/>
        <v>45.45</v>
      </c>
      <c r="U18" s="27">
        <f t="shared" si="31"/>
        <v>49.994999999999997</v>
      </c>
      <c r="V18" s="27">
        <f t="shared" si="31"/>
        <v>54.54</v>
      </c>
      <c r="W18" s="27">
        <f t="shared" si="31"/>
        <v>59.085000000000001</v>
      </c>
      <c r="X18" s="27">
        <f t="shared" si="31"/>
        <v>63.629999999999995</v>
      </c>
      <c r="Y18" s="27">
        <f t="shared" si="31"/>
        <v>68.174999999999997</v>
      </c>
      <c r="Z18" s="27">
        <f t="shared" si="31"/>
        <v>72.72</v>
      </c>
      <c r="AA18" s="27">
        <f t="shared" si="31"/>
        <v>77.265000000000001</v>
      </c>
      <c r="AB18" s="27">
        <f t="shared" si="31"/>
        <v>81.81</v>
      </c>
      <c r="AC18" s="27">
        <f t="shared" si="31"/>
        <v>86.355000000000004</v>
      </c>
      <c r="AD18" s="27">
        <f t="shared" ref="AD18" si="32">$B$23*AD17+$B$20</f>
        <v>90.9</v>
      </c>
      <c r="AE18" s="27">
        <f t="shared" ref="AE18" si="33">$B$23*AE17+$B$20</f>
        <v>95.444999999999993</v>
      </c>
      <c r="AF18" s="27">
        <f t="shared" ref="AF18" si="34">$B$23*AF17+$B$20</f>
        <v>99.99</v>
      </c>
      <c r="AG18" s="27">
        <f t="shared" ref="AG18" si="35">$B$23*AG17+$B$20</f>
        <v>104.535</v>
      </c>
      <c r="AH18" s="27">
        <f t="shared" ref="AH18" si="36">$B$23*AH17+$B$20</f>
        <v>109.08</v>
      </c>
      <c r="AI18" s="27">
        <f t="shared" ref="AI18" si="37">$B$23*AI17+$B$20</f>
        <v>113.625</v>
      </c>
      <c r="AJ18" s="27">
        <f t="shared" ref="AJ18" si="38">$B$23*AJ17+$B$20</f>
        <v>118.17</v>
      </c>
      <c r="AK18" s="27">
        <f t="shared" ref="AK18" si="39">$B$23*AK17+$B$20</f>
        <v>122.715</v>
      </c>
      <c r="AL18" s="27">
        <f t="shared" ref="AL18" si="40">$B$23*AL17+$B$20</f>
        <v>127.25999999999999</v>
      </c>
      <c r="AM18" s="27">
        <f t="shared" ref="AM18" si="41">$B$23*AM17+$B$20</f>
        <v>131.80500000000001</v>
      </c>
      <c r="AN18" s="27">
        <f t="shared" ref="AN18" si="42">$B$23*AN17+$B$20</f>
        <v>136.35</v>
      </c>
      <c r="AO18" s="27">
        <f t="shared" ref="AO18" si="43">$B$23*AO17+$B$20</f>
        <v>140.89500000000001</v>
      </c>
      <c r="AP18" s="27">
        <f t="shared" ref="AP18" si="44">$B$23*AP17+$B$20</f>
        <v>145.44</v>
      </c>
      <c r="AQ18" s="27">
        <f t="shared" ref="AQ18" si="45">$B$23*AQ17+$B$20</f>
        <v>149.98499999999999</v>
      </c>
      <c r="AR18" s="27">
        <f t="shared" ref="AR18" si="46">$B$23*AR17+$B$20</f>
        <v>154.53</v>
      </c>
      <c r="AS18" s="27">
        <f t="shared" ref="AS18" si="47">$B$23*AS17+$B$20</f>
        <v>159.07499999999999</v>
      </c>
      <c r="AT18" s="27">
        <f t="shared" ref="AT18" si="48">$B$23*AT17+$B$20</f>
        <v>163.62</v>
      </c>
      <c r="AU18" s="27">
        <f t="shared" ref="AU18" si="49">$B$23*AU17+$B$20</f>
        <v>168.16499999999999</v>
      </c>
      <c r="AV18" s="27">
        <f t="shared" ref="AV18" si="50">$B$23*AV17+$B$20</f>
        <v>172.71</v>
      </c>
      <c r="AW18" s="27">
        <f t="shared" ref="AW18" si="51">$B$23*AW17+$B$20</f>
        <v>177.255</v>
      </c>
      <c r="AX18" s="27">
        <f t="shared" ref="AX18" si="52">$B$23*AX17+$B$20</f>
        <v>181.8</v>
      </c>
      <c r="AY18" s="27">
        <f t="shared" ref="AY18" si="53">$B$23*AY17+$B$20</f>
        <v>186.345</v>
      </c>
      <c r="AZ18" s="27">
        <f t="shared" ref="AZ18" si="54">$B$23*AZ17+$B$20</f>
        <v>190.89</v>
      </c>
      <c r="BA18" s="27">
        <f t="shared" ref="BA18" si="55">$B$23*BA17+$B$20</f>
        <v>195.435</v>
      </c>
      <c r="BB18" s="27">
        <f t="shared" ref="BB18" si="56">$B$23*BB17+$B$20</f>
        <v>199.98</v>
      </c>
      <c r="BC18" s="27">
        <f t="shared" ref="BC18" si="57">$B$23*BC17+$B$20</f>
        <v>204.52500000000001</v>
      </c>
      <c r="BD18" s="27">
        <f t="shared" ref="BD18" si="58">$B$23*BD17+$B$20</f>
        <v>209.07</v>
      </c>
      <c r="BE18" s="27">
        <f t="shared" ref="BE18" si="59">$B$23*BE17+$B$20</f>
        <v>213.61500000000001</v>
      </c>
      <c r="BF18" s="27">
        <f t="shared" ref="BF18" si="60">$B$23*BF17+$B$20</f>
        <v>218.16</v>
      </c>
      <c r="BG18" s="27">
        <f t="shared" ref="BG18" si="61">$B$23*BG17+$B$20</f>
        <v>222.70499999999998</v>
      </c>
      <c r="BH18" s="27">
        <f t="shared" ref="BH18" si="62">$B$23*BH17+$B$20</f>
        <v>227.25</v>
      </c>
    </row>
    <row r="19" spans="1:60" x14ac:dyDescent="0.25">
      <c r="A19" s="1" t="s">
        <v>4</v>
      </c>
      <c r="B19" s="1">
        <f>B17/B18</f>
        <v>7.1232876712328764E-3</v>
      </c>
      <c r="G19" s="5">
        <f>ROUND(I19*12,1)</f>
        <v>0</v>
      </c>
      <c r="H19" s="5">
        <v>0</v>
      </c>
      <c r="I19" s="2">
        <f>H19*$B$19</f>
        <v>0</v>
      </c>
      <c r="J19" s="4">
        <f>IF($B$25="C",0,$B$26)</f>
        <v>50</v>
      </c>
      <c r="K19" s="19">
        <f t="shared" ref="K19:T28" ca="1" si="63">INDEX($L$141:$AF$159,MATCH(K$17,$I$141:$I$159,0),MATCH($G19,$L$140:$AF$140,0)+1)</f>
        <v>45.454999999999998</v>
      </c>
      <c r="L19" s="19">
        <f t="shared" ca="1" si="63"/>
        <v>40.909999999999997</v>
      </c>
      <c r="M19" s="19">
        <f t="shared" ca="1" si="63"/>
        <v>36.365000000000002</v>
      </c>
      <c r="N19" s="19">
        <f t="shared" ca="1" si="63"/>
        <v>31.82</v>
      </c>
      <c r="O19" s="19">
        <f t="shared" ca="1" si="63"/>
        <v>27.274999999999999</v>
      </c>
      <c r="P19" s="19">
        <f t="shared" ca="1" si="63"/>
        <v>22.73</v>
      </c>
      <c r="Q19" s="19">
        <f t="shared" ca="1" si="63"/>
        <v>18.185000000000002</v>
      </c>
      <c r="R19" s="19">
        <f t="shared" ca="1" si="63"/>
        <v>13.641512995233862</v>
      </c>
      <c r="S19" s="19">
        <f t="shared" ca="1" si="63"/>
        <v>9.1344729013238073</v>
      </c>
      <c r="T19" s="20">
        <f t="shared" ca="1" si="63"/>
        <v>4.866483763988497</v>
      </c>
      <c r="U19" s="19">
        <f t="shared" ref="U19:AC28" ca="1" si="64">INDEX($L$141:$AF$159,MATCH(U$17,$I$141:$I$159,0),MATCH($G19,$L$140:$AF$140,0)+1)</f>
        <v>1.5978803097941341</v>
      </c>
      <c r="V19" s="19">
        <f t="shared" ca="1" si="64"/>
        <v>0.41344053345844212</v>
      </c>
      <c r="W19" s="19">
        <f t="shared" ca="1" si="64"/>
        <v>9.5256597484319458E-2</v>
      </c>
      <c r="X19" s="19">
        <f t="shared" ca="1" si="64"/>
        <v>2.0802070773438992E-2</v>
      </c>
      <c r="Y19" s="19">
        <f t="shared" ca="1" si="64"/>
        <v>4.4574375227227877E-3</v>
      </c>
      <c r="Z19" s="19">
        <f t="shared" ca="1" si="64"/>
        <v>9.5645065279187423E-4</v>
      </c>
      <c r="AA19" s="19">
        <f t="shared" ca="1" si="64"/>
        <v>2.0806877437628109E-4</v>
      </c>
      <c r="AB19" s="19">
        <f t="shared" ca="1" si="64"/>
        <v>4.6241485189641156E-5</v>
      </c>
      <c r="AC19" s="19">
        <f t="shared" ca="1" si="64"/>
        <v>1.054810386324625E-5</v>
      </c>
      <c r="AD19" s="45">
        <f t="shared" ref="AD19:AM28" ca="1" si="65">INDEX($L$141:$AF$189,MATCH(AD$17,$I$141:$I$189,0),MATCH($G19,$L$140:$AF$140,0)+1)</f>
        <v>2.4765792161246834E-6</v>
      </c>
      <c r="AE19" s="45">
        <f t="shared" ca="1" si="65"/>
        <v>5.9943631005416451E-7</v>
      </c>
      <c r="AF19" s="45">
        <f t="shared" ca="1" si="65"/>
        <v>1.4967984211358464E-7</v>
      </c>
      <c r="AG19" s="45">
        <f t="shared" ca="1" si="65"/>
        <v>3.8564261820782007E-8</v>
      </c>
      <c r="AH19" s="45">
        <f t="shared" ca="1" si="65"/>
        <v>1.0249770204037788E-8</v>
      </c>
      <c r="AI19" s="45">
        <f t="shared" ca="1" si="65"/>
        <v>2.808951398594156E-9</v>
      </c>
      <c r="AJ19" s="45">
        <f t="shared" ca="1" si="65"/>
        <v>7.9322023141515607E-10</v>
      </c>
      <c r="AK19" s="45">
        <f t="shared" ca="1" si="65"/>
        <v>2.306387760296503E-10</v>
      </c>
      <c r="AL19" s="45">
        <f t="shared" ca="1" si="65"/>
        <v>6.8992036973027532E-11</v>
      </c>
      <c r="AM19" s="45">
        <f t="shared" ca="1" si="65"/>
        <v>2.1213661172980595E-11</v>
      </c>
      <c r="AN19" s="45">
        <f t="shared" ref="AN19:AW28" ca="1" si="66">INDEX($L$141:$AF$189,MATCH(AN$17,$I$141:$I$189,0),MATCH($G19,$L$140:$AF$140,0)+1)</f>
        <v>6.6987913568758495E-12</v>
      </c>
      <c r="AO19" s="45">
        <f t="shared" ca="1" si="66"/>
        <v>2.1704737314014347E-12</v>
      </c>
      <c r="AP19" s="45">
        <f t="shared" ca="1" si="66"/>
        <v>7.2095256295983602E-13</v>
      </c>
      <c r="AQ19" s="45">
        <f t="shared" ca="1" si="66"/>
        <v>2.4528827704730172E-13</v>
      </c>
      <c r="AR19" s="45">
        <f t="shared" ca="1" si="66"/>
        <v>8.5407906105579551E-14</v>
      </c>
      <c r="AS19" s="45">
        <f t="shared" ca="1" si="66"/>
        <v>3.0409876908177686E-14</v>
      </c>
      <c r="AT19" s="45">
        <f t="shared" ca="1" si="66"/>
        <v>1.1063245373371964E-14</v>
      </c>
      <c r="AU19" s="45">
        <f t="shared" ca="1" si="66"/>
        <v>4.1093215874875309E-15</v>
      </c>
      <c r="AV19" s="45">
        <f t="shared" ca="1" si="66"/>
        <v>1.5572505449829207E-15</v>
      </c>
      <c r="AW19" s="45">
        <f t="shared" ca="1" si="66"/>
        <v>6.0164650552254064E-16</v>
      </c>
      <c r="AX19" s="45">
        <f t="shared" ref="AX19:BG28" ca="1" si="67">INDEX($L$141:$AF$189,MATCH(AX$17,$I$141:$I$189,0),MATCH($G19,$L$140:$AF$140,0)+1)</f>
        <v>2.3682370522251049E-16</v>
      </c>
      <c r="AY19" s="45">
        <f t="shared" ca="1" si="67"/>
        <v>9.4913589001170938E-17</v>
      </c>
      <c r="AZ19" s="45">
        <f t="shared" ca="1" si="67"/>
        <v>3.8706272880146687E-17</v>
      </c>
      <c r="BA19" s="45">
        <f t="shared" ca="1" si="67"/>
        <v>1.6051818362544316E-17</v>
      </c>
      <c r="BB19" s="45">
        <f t="shared" ca="1" si="67"/>
        <v>6.7654812245956115E-18</v>
      </c>
      <c r="BC19" s="45">
        <f t="shared" ca="1" si="67"/>
        <v>2.8960307059662579E-18</v>
      </c>
      <c r="BD19" s="45">
        <f t="shared" ca="1" si="67"/>
        <v>1.2573526074402074E-18</v>
      </c>
      <c r="BE19" s="45">
        <f t="shared" ca="1" si="67"/>
        <v>5.5103990964643833E-19</v>
      </c>
      <c r="BF19" s="45">
        <f t="shared" ca="1" si="67"/>
        <v>2.3829016796852933E-19</v>
      </c>
      <c r="BG19" s="45">
        <f t="shared" ca="1" si="67"/>
        <v>8.949716343889687E-20</v>
      </c>
      <c r="BH19" s="29">
        <f t="shared" ref="BH19:BH26" si="68">IF($B$25="C",$AD$18-$B$26,0)</f>
        <v>0</v>
      </c>
    </row>
    <row r="20" spans="1:60" x14ac:dyDescent="0.25">
      <c r="A20" s="1" t="s">
        <v>38</v>
      </c>
      <c r="B20" s="1">
        <v>0</v>
      </c>
      <c r="G20" s="5">
        <f t="shared" ref="G20:G29" si="69">ROUND(I20*12,1)</f>
        <v>0.1</v>
      </c>
      <c r="H20" s="5">
        <f>H19+1</f>
        <v>1</v>
      </c>
      <c r="I20" s="2">
        <f t="shared" ref="I20:I29" si="70">H20*$B$19</f>
        <v>7.1232876712328764E-3</v>
      </c>
      <c r="J20" s="4">
        <f>IF($B$25="C",0,$B$26)</f>
        <v>50</v>
      </c>
      <c r="K20" s="19">
        <f t="shared" ca="1" si="63"/>
        <v>45.454999999999998</v>
      </c>
      <c r="L20" s="19">
        <f t="shared" ca="1" si="63"/>
        <v>40.909999999999997</v>
      </c>
      <c r="M20" s="19">
        <f t="shared" ca="1" si="63"/>
        <v>36.365000000000002</v>
      </c>
      <c r="N20" s="19">
        <f t="shared" ca="1" si="63"/>
        <v>31.82</v>
      </c>
      <c r="O20" s="19">
        <f t="shared" ca="1" si="63"/>
        <v>27.274999999999999</v>
      </c>
      <c r="P20" s="19">
        <f t="shared" ca="1" si="63"/>
        <v>22.73</v>
      </c>
      <c r="Q20" s="19">
        <f t="shared" ca="1" si="63"/>
        <v>18.185000000000002</v>
      </c>
      <c r="R20" s="19">
        <f t="shared" ca="1" si="63"/>
        <v>13.640843753024962</v>
      </c>
      <c r="S20" s="19">
        <f t="shared" ca="1" si="63"/>
        <v>9.1259911547926471</v>
      </c>
      <c r="T20" s="19">
        <f t="shared" ca="1" si="63"/>
        <v>4.8215626434315997</v>
      </c>
      <c r="U20" s="19">
        <f t="shared" ca="1" si="64"/>
        <v>1.4842377341601518</v>
      </c>
      <c r="V20" s="19">
        <f t="shared" ca="1" si="64"/>
        <v>0.3572178766029559</v>
      </c>
      <c r="W20" s="19">
        <f t="shared" ca="1" si="64"/>
        <v>7.6690378616270136E-2</v>
      </c>
      <c r="X20" s="19">
        <f t="shared" ca="1" si="64"/>
        <v>1.566816781129176E-2</v>
      </c>
      <c r="Y20" s="19">
        <f t="shared" ca="1" si="64"/>
        <v>3.1548114440542578E-3</v>
      </c>
      <c r="Z20" s="19">
        <f t="shared" ca="1" si="64"/>
        <v>6.3880888988194552E-4</v>
      </c>
      <c r="AA20" s="19">
        <f t="shared" ca="1" si="64"/>
        <v>1.3165645081971857E-4</v>
      </c>
      <c r="AB20" s="19">
        <f t="shared" ca="1" si="64"/>
        <v>2.7819497424237626E-5</v>
      </c>
      <c r="AC20" s="19">
        <f t="shared" ca="1" si="64"/>
        <v>6.0531874618109833E-6</v>
      </c>
      <c r="AD20" s="45">
        <f t="shared" ca="1" si="65"/>
        <v>1.3596618916590338E-6</v>
      </c>
      <c r="AE20" s="45">
        <f t="shared" ca="1" si="65"/>
        <v>3.156806992821953E-7</v>
      </c>
      <c r="AF20" s="45">
        <f t="shared" ca="1" si="65"/>
        <v>7.5795897180968691E-8</v>
      </c>
      <c r="AG20" s="45">
        <f t="shared" ca="1" si="65"/>
        <v>1.8819227415138091E-8</v>
      </c>
      <c r="AH20" s="45">
        <f t="shared" ca="1" si="65"/>
        <v>4.8299078214524499E-9</v>
      </c>
      <c r="AI20" s="45">
        <f t="shared" ca="1" si="65"/>
        <v>1.2804905901652675E-9</v>
      </c>
      <c r="AJ20" s="45">
        <f t="shared" ca="1" si="65"/>
        <v>3.5040236612800355E-10</v>
      </c>
      <c r="AK20" s="45">
        <f t="shared" ca="1" si="65"/>
        <v>9.8882974112389505E-11</v>
      </c>
      <c r="AL20" s="45">
        <f t="shared" ca="1" si="65"/>
        <v>2.8749243226474753E-11</v>
      </c>
      <c r="AM20" s="45">
        <f t="shared" ca="1" si="65"/>
        <v>8.6031300566879559E-12</v>
      </c>
      <c r="AN20" s="45">
        <f t="shared" ca="1" si="66"/>
        <v>2.6471799530574805E-12</v>
      </c>
      <c r="AO20" s="45">
        <f t="shared" ca="1" si="66"/>
        <v>8.3672391999190954E-13</v>
      </c>
      <c r="AP20" s="45">
        <f t="shared" ca="1" si="66"/>
        <v>2.7141563129980655E-13</v>
      </c>
      <c r="AQ20" s="45">
        <f t="shared" ca="1" si="66"/>
        <v>9.02680319493788E-14</v>
      </c>
      <c r="AR20" s="45">
        <f t="shared" ca="1" si="66"/>
        <v>3.0752770640977495E-14</v>
      </c>
      <c r="AS20" s="45">
        <f t="shared" ca="1" si="66"/>
        <v>1.0722691723511933E-14</v>
      </c>
      <c r="AT20" s="45">
        <f t="shared" ca="1" si="66"/>
        <v>3.8231817611572807E-15</v>
      </c>
      <c r="AU20" s="45">
        <f t="shared" ca="1" si="66"/>
        <v>1.3928178265081601E-15</v>
      </c>
      <c r="AV20" s="45">
        <f t="shared" ca="1" si="66"/>
        <v>5.180516898312661E-16</v>
      </c>
      <c r="AW20" s="45">
        <f t="shared" ca="1" si="66"/>
        <v>1.9657883305675803E-16</v>
      </c>
      <c r="AX20" s="45">
        <f t="shared" ca="1" si="67"/>
        <v>7.6045719398714581E-17</v>
      </c>
      <c r="AY20" s="45">
        <f t="shared" ca="1" si="67"/>
        <v>2.9970240092705353E-17</v>
      </c>
      <c r="AZ20" s="45">
        <f t="shared" ca="1" si="67"/>
        <v>1.2025388066127144E-17</v>
      </c>
      <c r="BA20" s="45">
        <f t="shared" ca="1" si="67"/>
        <v>4.9094025391857554E-18</v>
      </c>
      <c r="BB20" s="45">
        <f t="shared" ca="1" si="67"/>
        <v>2.0380261482220074E-18</v>
      </c>
      <c r="BC20" s="45">
        <f t="shared" ca="1" si="67"/>
        <v>8.5967936360196506E-19</v>
      </c>
      <c r="BD20" s="45">
        <f t="shared" ca="1" si="67"/>
        <v>3.6799929296453577E-19</v>
      </c>
      <c r="BE20" s="45">
        <f t="shared" ca="1" si="67"/>
        <v>1.5913334655754417E-19</v>
      </c>
      <c r="BF20" s="45">
        <f t="shared" ca="1" si="67"/>
        <v>6.8002017995473031E-20</v>
      </c>
      <c r="BG20" s="45">
        <f t="shared" ca="1" si="67"/>
        <v>2.5318726429084965E-20</v>
      </c>
      <c r="BH20" s="29">
        <f t="shared" si="68"/>
        <v>0</v>
      </c>
    </row>
    <row r="21" spans="1:60" x14ac:dyDescent="0.25">
      <c r="A21" s="1" t="s">
        <v>9</v>
      </c>
      <c r="B21" s="52">
        <f>D34</f>
        <v>227.25</v>
      </c>
      <c r="D21">
        <v>212.75</v>
      </c>
      <c r="E21">
        <f>D21*4</f>
        <v>851</v>
      </c>
      <c r="G21" s="5">
        <f t="shared" si="69"/>
        <v>0.2</v>
      </c>
      <c r="H21" s="5">
        <f t="shared" ref="H21:H29" si="71">H20+1</f>
        <v>2</v>
      </c>
      <c r="I21" s="2">
        <f t="shared" si="70"/>
        <v>1.4246575342465753E-2</v>
      </c>
      <c r="J21" s="4">
        <f t="shared" ref="J21:J28" si="72">IF($B$25="C",0,$B$26)</f>
        <v>50</v>
      </c>
      <c r="K21" s="19">
        <f t="shared" ca="1" si="63"/>
        <v>45.454999999999998</v>
      </c>
      <c r="L21" s="19">
        <f t="shared" ca="1" si="63"/>
        <v>40.909999999999997</v>
      </c>
      <c r="M21" s="19">
        <f t="shared" ca="1" si="63"/>
        <v>36.365000000000002</v>
      </c>
      <c r="N21" s="19">
        <f t="shared" ca="1" si="63"/>
        <v>31.82</v>
      </c>
      <c r="O21" s="19">
        <f t="shared" ca="1" si="63"/>
        <v>27.274999999999999</v>
      </c>
      <c r="P21" s="19">
        <f t="shared" ca="1" si="63"/>
        <v>22.73</v>
      </c>
      <c r="Q21" s="19">
        <f t="shared" ca="1" si="63"/>
        <v>18.185000000000002</v>
      </c>
      <c r="R21" s="19">
        <f t="shared" ca="1" si="63"/>
        <v>13.640380995463223</v>
      </c>
      <c r="S21" s="19">
        <f t="shared" ca="1" si="63"/>
        <v>9.1185544956786995</v>
      </c>
      <c r="T21" s="19">
        <f t="shared" ca="1" si="63"/>
        <v>4.7780956006601887</v>
      </c>
      <c r="U21" s="19">
        <f t="shared" ca="1" si="64"/>
        <v>1.3637113912721406</v>
      </c>
      <c r="V21" s="19">
        <f t="shared" ca="1" si="64"/>
        <v>0.30227666363737582</v>
      </c>
      <c r="W21" s="19">
        <f t="shared" ca="1" si="64"/>
        <v>5.9969198990773832E-2</v>
      </c>
      <c r="X21" s="19">
        <f t="shared" ca="1" si="64"/>
        <v>1.138245317893399E-2</v>
      </c>
      <c r="Y21" s="19">
        <f t="shared" ca="1" si="64"/>
        <v>2.1408530357920476E-3</v>
      </c>
      <c r="Z21" s="19">
        <f t="shared" ca="1" si="64"/>
        <v>4.0699244491193879E-4</v>
      </c>
      <c r="AA21" s="19">
        <f t="shared" ca="1" si="64"/>
        <v>7.9114956576135375E-5</v>
      </c>
      <c r="AB21" s="19">
        <f t="shared" ca="1" si="64"/>
        <v>1.5832933630236608E-5</v>
      </c>
      <c r="AC21" s="19">
        <f t="shared" ca="1" si="64"/>
        <v>3.2749134211577799E-6</v>
      </c>
      <c r="AD21" s="45">
        <f t="shared" ca="1" si="65"/>
        <v>7.0160493136624993E-7</v>
      </c>
      <c r="AE21" s="45">
        <f t="shared" ca="1" si="65"/>
        <v>1.5583070605941728E-7</v>
      </c>
      <c r="AF21" s="45">
        <f t="shared" ca="1" si="65"/>
        <v>3.5889255191880766E-8</v>
      </c>
      <c r="AG21" s="45">
        <f t="shared" ca="1" si="65"/>
        <v>8.568282461837379E-9</v>
      </c>
      <c r="AH21" s="45">
        <f t="shared" ca="1" si="65"/>
        <v>2.1191725272036689E-9</v>
      </c>
      <c r="AI21" s="45">
        <f t="shared" ca="1" si="65"/>
        <v>5.4252041926803347E-10</v>
      </c>
      <c r="AJ21" s="45">
        <f t="shared" ca="1" si="65"/>
        <v>1.4362175294062863E-10</v>
      </c>
      <c r="AK21" s="45">
        <f t="shared" ca="1" si="65"/>
        <v>3.9275582892114033E-11</v>
      </c>
      <c r="AL21" s="45">
        <f t="shared" ca="1" si="65"/>
        <v>1.1082824984496875E-11</v>
      </c>
      <c r="AM21" s="45">
        <f t="shared" ca="1" si="65"/>
        <v>3.2234838137137519E-12</v>
      </c>
      <c r="AN21" s="45">
        <f t="shared" ca="1" si="66"/>
        <v>9.6532150695247711E-13</v>
      </c>
      <c r="AO21" s="45">
        <f t="shared" ca="1" si="66"/>
        <v>2.9731866360853024E-13</v>
      </c>
      <c r="AP21" s="45">
        <f t="shared" ca="1" si="66"/>
        <v>9.4084893241997242E-14</v>
      </c>
      <c r="AQ21" s="45">
        <f t="shared" ca="1" si="66"/>
        <v>3.0557863201949702E-14</v>
      </c>
      <c r="AR21" s="45">
        <f t="shared" ca="1" si="66"/>
        <v>1.0176647591614593E-14</v>
      </c>
      <c r="AS21" s="45">
        <f t="shared" ca="1" si="66"/>
        <v>3.4718005872771046E-15</v>
      </c>
      <c r="AT21" s="45">
        <f t="shared" ca="1" si="66"/>
        <v>1.2122142430601134E-15</v>
      </c>
      <c r="AU21" s="45">
        <f t="shared" ca="1" si="66"/>
        <v>4.3281425692292286E-16</v>
      </c>
      <c r="AV21" s="45">
        <f t="shared" ca="1" si="66"/>
        <v>1.5789223928695065E-16</v>
      </c>
      <c r="AW21" s="45">
        <f t="shared" ca="1" si="66"/>
        <v>5.8804784914761363E-17</v>
      </c>
      <c r="AX21" s="45">
        <f t="shared" ca="1" si="67"/>
        <v>2.2342328833526534E-17</v>
      </c>
      <c r="AY21" s="45">
        <f t="shared" ca="1" si="67"/>
        <v>8.6535516501443889E-18</v>
      </c>
      <c r="AZ21" s="45">
        <f t="shared" ca="1" si="67"/>
        <v>3.4143739886860911E-18</v>
      </c>
      <c r="BA21" s="45">
        <f t="shared" ca="1" si="67"/>
        <v>1.3714871810903085E-18</v>
      </c>
      <c r="BB21" s="45">
        <f t="shared" ca="1" si="67"/>
        <v>5.604739698744403E-19</v>
      </c>
      <c r="BC21" s="45">
        <f t="shared" ca="1" si="67"/>
        <v>2.3285764471341785E-19</v>
      </c>
      <c r="BD21" s="45">
        <f t="shared" ca="1" si="67"/>
        <v>9.8231649743472448E-20</v>
      </c>
      <c r="BE21" s="45">
        <f t="shared" ca="1" si="67"/>
        <v>4.1894085201404194E-20</v>
      </c>
      <c r="BF21" s="45">
        <f t="shared" ca="1" si="67"/>
        <v>1.7683028769758842E-20</v>
      </c>
      <c r="BG21" s="45">
        <f t="shared" ca="1" si="67"/>
        <v>6.5242872550266806E-21</v>
      </c>
      <c r="BH21" s="29">
        <f t="shared" si="68"/>
        <v>0</v>
      </c>
    </row>
    <row r="22" spans="1:60" x14ac:dyDescent="0.25">
      <c r="A22" s="1" t="s">
        <v>5</v>
      </c>
      <c r="B22" s="1">
        <v>50</v>
      </c>
      <c r="G22" s="5">
        <f t="shared" si="69"/>
        <v>0.3</v>
      </c>
      <c r="H22" s="5">
        <f t="shared" si="71"/>
        <v>3</v>
      </c>
      <c r="I22" s="2">
        <f t="shared" si="70"/>
        <v>2.1369863013698628E-2</v>
      </c>
      <c r="J22" s="4">
        <f t="shared" si="72"/>
        <v>50</v>
      </c>
      <c r="K22" s="19">
        <f t="shared" ca="1" si="63"/>
        <v>45.454999999999998</v>
      </c>
      <c r="L22" s="19">
        <f t="shared" ca="1" si="63"/>
        <v>40.909999999999997</v>
      </c>
      <c r="M22" s="19">
        <f t="shared" ca="1" si="63"/>
        <v>36.365000000000002</v>
      </c>
      <c r="N22" s="19">
        <f t="shared" ca="1" si="63"/>
        <v>31.82</v>
      </c>
      <c r="O22" s="19">
        <f t="shared" ca="1" si="63"/>
        <v>27.274999999999999</v>
      </c>
      <c r="P22" s="19">
        <f t="shared" ca="1" si="63"/>
        <v>22.73</v>
      </c>
      <c r="Q22" s="19">
        <f t="shared" ca="1" si="63"/>
        <v>18.185000000000002</v>
      </c>
      <c r="R22" s="19">
        <f t="shared" ca="1" si="63"/>
        <v>13.64</v>
      </c>
      <c r="S22" s="19">
        <f t="shared" ca="1" si="63"/>
        <v>9.106866721118509</v>
      </c>
      <c r="T22" s="19">
        <f t="shared" ca="1" si="63"/>
        <v>4.6971766015101712</v>
      </c>
      <c r="U22" s="19">
        <f t="shared" ca="1" si="64"/>
        <v>1.0982591774272448</v>
      </c>
      <c r="V22" s="19">
        <f t="shared" ca="1" si="64"/>
        <v>0.19832738779840742</v>
      </c>
      <c r="W22" s="19">
        <f t="shared" ca="1" si="64"/>
        <v>3.2521164380950124E-2</v>
      </c>
      <c r="X22" s="19">
        <f t="shared" ca="1" si="64"/>
        <v>5.1869760810592785E-3</v>
      </c>
      <c r="Y22" s="19">
        <f t="shared" ca="1" si="64"/>
        <v>8.3248470616456853E-4</v>
      </c>
      <c r="Z22" s="19">
        <f t="shared" ca="1" si="64"/>
        <v>1.3689830590248546E-4</v>
      </c>
      <c r="AA22" s="19">
        <f t="shared" ca="1" si="64"/>
        <v>2.329544900325148E-5</v>
      </c>
      <c r="AB22" s="19">
        <f t="shared" ca="1" si="64"/>
        <v>4.1239092028522512E-6</v>
      </c>
      <c r="AC22" s="19">
        <f t="shared" ca="1" si="64"/>
        <v>7.614950397494477E-7</v>
      </c>
      <c r="AD22" s="45">
        <f t="shared" ca="1" si="65"/>
        <v>1.4682410353808673E-7</v>
      </c>
      <c r="AE22" s="45">
        <f t="shared" ca="1" si="65"/>
        <v>2.9560884749172711E-8</v>
      </c>
      <c r="AF22" s="45">
        <f t="shared" ca="1" si="65"/>
        <v>6.2111729843223796E-9</v>
      </c>
      <c r="AG22" s="45">
        <f t="shared" ca="1" si="65"/>
        <v>1.3606431141502261E-9</v>
      </c>
      <c r="AH22" s="45">
        <f t="shared" ca="1" si="65"/>
        <v>3.1038872553695469E-10</v>
      </c>
      <c r="AI22" s="45">
        <f t="shared" ca="1" si="65"/>
        <v>7.3633839868643876E-11</v>
      </c>
      <c r="AJ22" s="45">
        <f t="shared" ca="1" si="65"/>
        <v>1.8140461728521753E-11</v>
      </c>
      <c r="AK22" s="45">
        <f t="shared" ca="1" si="65"/>
        <v>4.634451104472724E-12</v>
      </c>
      <c r="AL22" s="45">
        <f t="shared" ca="1" si="65"/>
        <v>1.2260551074789977E-12</v>
      </c>
      <c r="AM22" s="45">
        <f t="shared" ca="1" si="65"/>
        <v>3.3541109553352061E-13</v>
      </c>
      <c r="AN22" s="45">
        <f t="shared" ca="1" si="66"/>
        <v>9.4757041926493986E-14</v>
      </c>
      <c r="AO22" s="45">
        <f t="shared" ca="1" si="66"/>
        <v>2.7608534457238653E-14</v>
      </c>
      <c r="AP22" s="45">
        <f t="shared" ca="1" si="66"/>
        <v>8.2856465551595415E-15</v>
      </c>
      <c r="AQ22" s="45">
        <f t="shared" ca="1" si="66"/>
        <v>2.5582164202534904E-15</v>
      </c>
      <c r="AR22" s="45">
        <f t="shared" ca="1" si="66"/>
        <v>8.1166378053468338E-16</v>
      </c>
      <c r="AS22" s="45">
        <f t="shared" ca="1" si="66"/>
        <v>2.6434226222287825E-16</v>
      </c>
      <c r="AT22" s="45">
        <f t="shared" ca="1" si="66"/>
        <v>8.8278514164180816E-17</v>
      </c>
      <c r="AU22" s="45">
        <f t="shared" ca="1" si="66"/>
        <v>3.0200213136267012E-17</v>
      </c>
      <c r="AV22" s="45">
        <f t="shared" ca="1" si="66"/>
        <v>1.0573567185251782E-17</v>
      </c>
      <c r="AW22" s="45">
        <f t="shared" ca="1" si="66"/>
        <v>3.7852969526985968E-18</v>
      </c>
      <c r="AX22" s="45">
        <f t="shared" ca="1" si="67"/>
        <v>1.3844431798028859E-18</v>
      </c>
      <c r="AY22" s="45">
        <f t="shared" ca="1" si="67"/>
        <v>5.1688676916745082E-19</v>
      </c>
      <c r="AZ22" s="45">
        <f t="shared" ca="1" si="67"/>
        <v>1.9684598694935249E-19</v>
      </c>
      <c r="BA22" s="45">
        <f t="shared" ca="1" si="67"/>
        <v>7.6409988066000006E-20</v>
      </c>
      <c r="BB22" s="45">
        <f t="shared" ca="1" si="67"/>
        <v>3.0210498941351391E-20</v>
      </c>
      <c r="BC22" s="45">
        <f t="shared" ca="1" si="67"/>
        <v>1.21568840111419E-20</v>
      </c>
      <c r="BD22" s="45">
        <f t="shared" ca="1" si="67"/>
        <v>4.9730598439065552E-21</v>
      </c>
      <c r="BE22" s="45">
        <f t="shared" ca="1" si="67"/>
        <v>2.0599453356342004E-21</v>
      </c>
      <c r="BF22" s="45">
        <f t="shared" ca="1" si="67"/>
        <v>8.470797929274305E-22</v>
      </c>
      <c r="BG22" s="45">
        <f t="shared" ca="1" si="67"/>
        <v>3.0654583676018109E-22</v>
      </c>
      <c r="BH22" s="29">
        <f t="shared" si="68"/>
        <v>0</v>
      </c>
    </row>
    <row r="23" spans="1:60" x14ac:dyDescent="0.25">
      <c r="A23" s="1" t="s">
        <v>10</v>
      </c>
      <c r="B23" s="1">
        <f>(B21-B20)/B22</f>
        <v>4.5449999999999999</v>
      </c>
      <c r="G23" s="5">
        <f t="shared" si="69"/>
        <v>0.3</v>
      </c>
      <c r="H23" s="5">
        <f t="shared" si="71"/>
        <v>4</v>
      </c>
      <c r="I23" s="2">
        <f t="shared" si="70"/>
        <v>2.8493150684931506E-2</v>
      </c>
      <c r="J23" s="4">
        <f t="shared" si="72"/>
        <v>50</v>
      </c>
      <c r="K23" s="19">
        <f t="shared" ca="1" si="63"/>
        <v>45.454999999999998</v>
      </c>
      <c r="L23" s="19">
        <f t="shared" ca="1" si="63"/>
        <v>40.909999999999997</v>
      </c>
      <c r="M23" s="19">
        <f t="shared" ca="1" si="63"/>
        <v>36.365000000000002</v>
      </c>
      <c r="N23" s="19">
        <f t="shared" ca="1" si="63"/>
        <v>31.82</v>
      </c>
      <c r="O23" s="19">
        <f t="shared" ca="1" si="63"/>
        <v>27.274999999999999</v>
      </c>
      <c r="P23" s="19">
        <f t="shared" ca="1" si="63"/>
        <v>22.73</v>
      </c>
      <c r="Q23" s="19">
        <f t="shared" ca="1" si="63"/>
        <v>18.185000000000002</v>
      </c>
      <c r="R23" s="19">
        <f t="shared" ca="1" si="63"/>
        <v>13.64</v>
      </c>
      <c r="S23" s="19">
        <f t="shared" ca="1" si="63"/>
        <v>9.106866721118509</v>
      </c>
      <c r="T23" s="19">
        <f t="shared" ca="1" si="63"/>
        <v>4.6971766015101712</v>
      </c>
      <c r="U23" s="19">
        <f t="shared" ca="1" si="64"/>
        <v>1.0982591774272448</v>
      </c>
      <c r="V23" s="19">
        <f t="shared" ca="1" si="64"/>
        <v>0.19832738779840742</v>
      </c>
      <c r="W23" s="19">
        <f t="shared" ca="1" si="64"/>
        <v>3.2521164380950124E-2</v>
      </c>
      <c r="X23" s="19">
        <f t="shared" ca="1" si="64"/>
        <v>5.1869760810592785E-3</v>
      </c>
      <c r="Y23" s="19">
        <f t="shared" ca="1" si="64"/>
        <v>8.3248470616456853E-4</v>
      </c>
      <c r="Z23" s="19">
        <f t="shared" ca="1" si="64"/>
        <v>1.3689830590248546E-4</v>
      </c>
      <c r="AA23" s="19">
        <f t="shared" ca="1" si="64"/>
        <v>2.329544900325148E-5</v>
      </c>
      <c r="AB23" s="19">
        <f t="shared" ca="1" si="64"/>
        <v>4.1239092028522512E-6</v>
      </c>
      <c r="AC23" s="19">
        <f t="shared" ca="1" si="64"/>
        <v>7.614950397494477E-7</v>
      </c>
      <c r="AD23" s="45">
        <f t="shared" ca="1" si="65"/>
        <v>1.4682410353808673E-7</v>
      </c>
      <c r="AE23" s="45">
        <f t="shared" ca="1" si="65"/>
        <v>2.9560884749172711E-8</v>
      </c>
      <c r="AF23" s="45">
        <f t="shared" ca="1" si="65"/>
        <v>6.2111729843223796E-9</v>
      </c>
      <c r="AG23" s="45">
        <f t="shared" ca="1" si="65"/>
        <v>1.3606431141502261E-9</v>
      </c>
      <c r="AH23" s="45">
        <f t="shared" ca="1" si="65"/>
        <v>3.1038872553695469E-10</v>
      </c>
      <c r="AI23" s="45">
        <f t="shared" ca="1" si="65"/>
        <v>7.3633839868643876E-11</v>
      </c>
      <c r="AJ23" s="45">
        <f t="shared" ca="1" si="65"/>
        <v>1.8140461728521753E-11</v>
      </c>
      <c r="AK23" s="45">
        <f t="shared" ca="1" si="65"/>
        <v>4.634451104472724E-12</v>
      </c>
      <c r="AL23" s="45">
        <f t="shared" ca="1" si="65"/>
        <v>1.2260551074789977E-12</v>
      </c>
      <c r="AM23" s="45">
        <f t="shared" ca="1" si="65"/>
        <v>3.3541109553352061E-13</v>
      </c>
      <c r="AN23" s="45">
        <f t="shared" ca="1" si="66"/>
        <v>9.4757041926493986E-14</v>
      </c>
      <c r="AO23" s="45">
        <f t="shared" ca="1" si="66"/>
        <v>2.7608534457238653E-14</v>
      </c>
      <c r="AP23" s="45">
        <f t="shared" ca="1" si="66"/>
        <v>8.2856465551595415E-15</v>
      </c>
      <c r="AQ23" s="45">
        <f t="shared" ca="1" si="66"/>
        <v>2.5582164202534904E-15</v>
      </c>
      <c r="AR23" s="45">
        <f t="shared" ca="1" si="66"/>
        <v>8.1166378053468338E-16</v>
      </c>
      <c r="AS23" s="45">
        <f t="shared" ca="1" si="66"/>
        <v>2.6434226222287825E-16</v>
      </c>
      <c r="AT23" s="45">
        <f t="shared" ca="1" si="66"/>
        <v>8.8278514164180816E-17</v>
      </c>
      <c r="AU23" s="45">
        <f t="shared" ca="1" si="66"/>
        <v>3.0200213136267012E-17</v>
      </c>
      <c r="AV23" s="45">
        <f t="shared" ca="1" si="66"/>
        <v>1.0573567185251782E-17</v>
      </c>
      <c r="AW23" s="45">
        <f t="shared" ca="1" si="66"/>
        <v>3.7852969526985968E-18</v>
      </c>
      <c r="AX23" s="45">
        <f t="shared" ca="1" si="67"/>
        <v>1.3844431798028859E-18</v>
      </c>
      <c r="AY23" s="45">
        <f t="shared" ca="1" si="67"/>
        <v>5.1688676916745082E-19</v>
      </c>
      <c r="AZ23" s="45">
        <f t="shared" ca="1" si="67"/>
        <v>1.9684598694935249E-19</v>
      </c>
      <c r="BA23" s="45">
        <f t="shared" ca="1" si="67"/>
        <v>7.6409988066000006E-20</v>
      </c>
      <c r="BB23" s="45">
        <f t="shared" ca="1" si="67"/>
        <v>3.0210498941351391E-20</v>
      </c>
      <c r="BC23" s="45">
        <f t="shared" ca="1" si="67"/>
        <v>1.21568840111419E-20</v>
      </c>
      <c r="BD23" s="45">
        <f t="shared" ca="1" si="67"/>
        <v>4.9730598439065552E-21</v>
      </c>
      <c r="BE23" s="45">
        <f t="shared" ca="1" si="67"/>
        <v>2.0599453356342004E-21</v>
      </c>
      <c r="BF23" s="45">
        <f t="shared" ca="1" si="67"/>
        <v>8.470797929274305E-22</v>
      </c>
      <c r="BG23" s="45">
        <f t="shared" ca="1" si="67"/>
        <v>3.0654583676018109E-22</v>
      </c>
      <c r="BH23" s="29">
        <f t="shared" si="68"/>
        <v>0</v>
      </c>
    </row>
    <row r="24" spans="1:60" x14ac:dyDescent="0.25">
      <c r="B24" s="1"/>
      <c r="G24" s="5">
        <f t="shared" si="69"/>
        <v>0.4</v>
      </c>
      <c r="H24" s="5">
        <f t="shared" si="71"/>
        <v>5</v>
      </c>
      <c r="I24" s="2">
        <f t="shared" si="70"/>
        <v>3.5616438356164383E-2</v>
      </c>
      <c r="J24" s="4">
        <f t="shared" si="72"/>
        <v>50</v>
      </c>
      <c r="K24" s="19">
        <f t="shared" ca="1" si="63"/>
        <v>45.454999999999998</v>
      </c>
      <c r="L24" s="19">
        <f t="shared" ca="1" si="63"/>
        <v>40.909999999999997</v>
      </c>
      <c r="M24" s="19">
        <f t="shared" ca="1" si="63"/>
        <v>36.365000000000002</v>
      </c>
      <c r="N24" s="19">
        <f t="shared" ca="1" si="63"/>
        <v>31.82</v>
      </c>
      <c r="O24" s="19">
        <f t="shared" ca="1" si="63"/>
        <v>27.274999999999999</v>
      </c>
      <c r="P24" s="19">
        <f t="shared" ca="1" si="63"/>
        <v>22.73</v>
      </c>
      <c r="Q24" s="19">
        <f t="shared" ca="1" si="63"/>
        <v>18.185000000000002</v>
      </c>
      <c r="R24" s="19">
        <f t="shared" ca="1" si="63"/>
        <v>13.64</v>
      </c>
      <c r="S24" s="19">
        <f t="shared" ca="1" si="63"/>
        <v>9.1026070836560447</v>
      </c>
      <c r="T24" s="19">
        <f t="shared" ca="1" si="63"/>
        <v>4.6607536739010929</v>
      </c>
      <c r="U24" s="19">
        <f t="shared" ca="1" si="64"/>
        <v>0.95106610378407908</v>
      </c>
      <c r="V24" s="19">
        <f t="shared" ca="1" si="64"/>
        <v>0.15067627458051849</v>
      </c>
      <c r="W24" s="19">
        <f t="shared" ca="1" si="64"/>
        <v>2.1972397994049191E-2</v>
      </c>
      <c r="X24" s="19">
        <f t="shared" ca="1" si="64"/>
        <v>3.1566795571524018E-3</v>
      </c>
      <c r="Y24" s="19">
        <f t="shared" ca="1" si="64"/>
        <v>4.6138004108847263E-4</v>
      </c>
      <c r="Z24" s="19">
        <f t="shared" ca="1" si="64"/>
        <v>6.9737508586235409E-5</v>
      </c>
      <c r="AA24" s="19">
        <f t="shared" ca="1" si="64"/>
        <v>1.099330616673088E-5</v>
      </c>
      <c r="AB24" s="19">
        <f t="shared" ca="1" si="64"/>
        <v>1.814924790825641E-6</v>
      </c>
      <c r="AC24" s="19">
        <f t="shared" ca="1" si="64"/>
        <v>3.1434583381837314E-7</v>
      </c>
      <c r="AD24" s="45">
        <f t="shared" ca="1" si="65"/>
        <v>5.7134438513373025E-8</v>
      </c>
      <c r="AE24" s="45">
        <f t="shared" ca="1" si="65"/>
        <v>1.0891192009366573E-8</v>
      </c>
      <c r="AF24" s="45">
        <f t="shared" ca="1" si="65"/>
        <v>2.1750078224012153E-9</v>
      </c>
      <c r="AG24" s="45">
        <f t="shared" ca="1" si="65"/>
        <v>4.544051800620411E-10</v>
      </c>
      <c r="AH24" s="45">
        <f t="shared" ca="1" si="65"/>
        <v>9.9160652706477421E-11</v>
      </c>
      <c r="AI24" s="45">
        <f t="shared" ca="1" si="65"/>
        <v>2.2564788489673241E-11</v>
      </c>
      <c r="AJ24" s="45">
        <f t="shared" ca="1" si="65"/>
        <v>5.345534766313709E-12</v>
      </c>
      <c r="AK24" s="45">
        <f t="shared" ca="1" si="65"/>
        <v>1.3161251975178675E-12</v>
      </c>
      <c r="AL24" s="45">
        <f t="shared" ca="1" si="65"/>
        <v>3.3623554858233349E-13</v>
      </c>
      <c r="AM24" s="45">
        <f t="shared" ca="1" si="65"/>
        <v>8.8991195132887192E-14</v>
      </c>
      <c r="AN24" s="45">
        <f t="shared" ca="1" si="66"/>
        <v>2.4364089261043681E-14</v>
      </c>
      <c r="AO24" s="45">
        <f t="shared" ca="1" si="66"/>
        <v>6.890074844017478E-15</v>
      </c>
      <c r="AP24" s="45">
        <f t="shared" ca="1" si="66"/>
        <v>2.0098709469219297E-15</v>
      </c>
      <c r="AQ24" s="45">
        <f t="shared" ca="1" si="66"/>
        <v>6.0396498433844403E-16</v>
      </c>
      <c r="AR24" s="45">
        <f t="shared" ca="1" si="66"/>
        <v>1.8672914956525307E-16</v>
      </c>
      <c r="AS24" s="45">
        <f t="shared" ca="1" si="66"/>
        <v>5.9327271059128231E-17</v>
      </c>
      <c r="AT24" s="45">
        <f t="shared" ca="1" si="66"/>
        <v>1.9348633908412008E-17</v>
      </c>
      <c r="AU24" s="45">
        <f t="shared" ca="1" si="66"/>
        <v>6.4704905810307287E-18</v>
      </c>
      <c r="AV24" s="45">
        <f t="shared" ca="1" si="66"/>
        <v>2.2165453575522292E-18</v>
      </c>
      <c r="AW24" s="45">
        <f t="shared" ca="1" si="66"/>
        <v>7.7705739659222711E-19</v>
      </c>
      <c r="AX24" s="45">
        <f t="shared" ca="1" si="67"/>
        <v>2.7853061978617925E-19</v>
      </c>
      <c r="AY24" s="45">
        <f t="shared" ca="1" si="67"/>
        <v>1.019912697259081E-19</v>
      </c>
      <c r="AZ24" s="45">
        <f t="shared" ca="1" si="67"/>
        <v>3.8121445212134336E-20</v>
      </c>
      <c r="BA24" s="45">
        <f t="shared" ca="1" si="67"/>
        <v>1.4533012883274812E-20</v>
      </c>
      <c r="BB24" s="45">
        <f t="shared" ca="1" si="67"/>
        <v>5.6467430591085819E-21</v>
      </c>
      <c r="BC24" s="45">
        <f t="shared" ca="1" si="67"/>
        <v>2.234387735535402E-21</v>
      </c>
      <c r="BD24" s="45">
        <f t="shared" ca="1" si="67"/>
        <v>8.9934622184105566E-22</v>
      </c>
      <c r="BE24" s="45">
        <f t="shared" ca="1" si="67"/>
        <v>3.6684354893488277E-22</v>
      </c>
      <c r="BF24" s="45">
        <f t="shared" ca="1" si="67"/>
        <v>1.4878168525218692E-22</v>
      </c>
      <c r="BG24" s="45">
        <f t="shared" ca="1" si="67"/>
        <v>5.3289177713459729E-23</v>
      </c>
      <c r="BH24" s="29">
        <f t="shared" si="68"/>
        <v>0</v>
      </c>
    </row>
    <row r="25" spans="1:60" x14ac:dyDescent="0.25">
      <c r="A25" s="1" t="s">
        <v>12</v>
      </c>
      <c r="B25" s="1" t="s">
        <v>13</v>
      </c>
      <c r="G25" s="5">
        <f t="shared" si="69"/>
        <v>0.5</v>
      </c>
      <c r="H25" s="5">
        <f t="shared" si="71"/>
        <v>6</v>
      </c>
      <c r="I25" s="2">
        <f t="shared" si="70"/>
        <v>4.2739726027397257E-2</v>
      </c>
      <c r="J25" s="4">
        <f t="shared" si="72"/>
        <v>50</v>
      </c>
      <c r="K25" s="19">
        <f t="shared" ca="1" si="63"/>
        <v>45.454999999999998</v>
      </c>
      <c r="L25" s="19">
        <f t="shared" ca="1" si="63"/>
        <v>40.909999999999997</v>
      </c>
      <c r="M25" s="19">
        <f t="shared" ca="1" si="63"/>
        <v>36.365000000000002</v>
      </c>
      <c r="N25" s="19">
        <f t="shared" ca="1" si="63"/>
        <v>31.82</v>
      </c>
      <c r="O25" s="19">
        <f t="shared" ca="1" si="63"/>
        <v>27.274999999999999</v>
      </c>
      <c r="P25" s="19">
        <f t="shared" ca="1" si="63"/>
        <v>22.73</v>
      </c>
      <c r="Q25" s="19">
        <f t="shared" ca="1" si="63"/>
        <v>18.185000000000002</v>
      </c>
      <c r="R25" s="19">
        <f t="shared" ca="1" si="63"/>
        <v>13.64</v>
      </c>
      <c r="S25" s="19">
        <f t="shared" ca="1" si="63"/>
        <v>9.0993704845917449</v>
      </c>
      <c r="T25" s="19">
        <f t="shared" ca="1" si="63"/>
        <v>4.6278734000997623</v>
      </c>
      <c r="U25" s="19">
        <f t="shared" ca="1" si="64"/>
        <v>0.79239705533849614</v>
      </c>
      <c r="V25" s="19">
        <f t="shared" ca="1" si="64"/>
        <v>0.10707720031690873</v>
      </c>
      <c r="W25" s="19">
        <f t="shared" ca="1" si="64"/>
        <v>1.3601040666468972E-2</v>
      </c>
      <c r="X25" s="19">
        <f t="shared" ca="1" si="64"/>
        <v>1.7323992267822825E-3</v>
      </c>
      <c r="Y25" s="19">
        <f t="shared" ca="1" si="64"/>
        <v>2.277297892910464E-4</v>
      </c>
      <c r="Z25" s="19">
        <f t="shared" ca="1" si="64"/>
        <v>3.1320868592178636E-5</v>
      </c>
      <c r="AA25" s="19">
        <f t="shared" ca="1" si="64"/>
        <v>4.5360313585716167E-6</v>
      </c>
      <c r="AB25" s="19">
        <f t="shared" ca="1" si="64"/>
        <v>6.9354673937338635E-7</v>
      </c>
      <c r="AC25" s="19">
        <f t="shared" ca="1" si="64"/>
        <v>1.1200776190076939E-7</v>
      </c>
      <c r="AD25" s="45">
        <f t="shared" ca="1" si="65"/>
        <v>1.9093750514729837E-8</v>
      </c>
      <c r="AE25" s="45">
        <f t="shared" ca="1" si="65"/>
        <v>3.4309119431936679E-9</v>
      </c>
      <c r="AF25" s="45">
        <f t="shared" ca="1" si="65"/>
        <v>6.4870197271020147E-10</v>
      </c>
      <c r="AG25" s="45">
        <f t="shared" ca="1" si="65"/>
        <v>1.2881224168423536E-10</v>
      </c>
      <c r="AH25" s="45">
        <f t="shared" ca="1" si="65"/>
        <v>2.6808331041416466E-11</v>
      </c>
      <c r="AI25" s="45">
        <f t="shared" ca="1" si="65"/>
        <v>5.8358378885693235E-12</v>
      </c>
      <c r="AJ25" s="45">
        <f t="shared" ca="1" si="65"/>
        <v>1.3261474154761246E-12</v>
      </c>
      <c r="AK25" s="45">
        <f t="shared" ca="1" si="65"/>
        <v>3.1397526907021653E-13</v>
      </c>
      <c r="AL25" s="45">
        <f t="shared" ca="1" si="65"/>
        <v>7.7304757493161019E-14</v>
      </c>
      <c r="AM25" s="45">
        <f t="shared" ca="1" si="65"/>
        <v>1.9758408311636631E-14</v>
      </c>
      <c r="AN25" s="45">
        <f t="shared" ca="1" si="66"/>
        <v>5.2335661952166522E-15</v>
      </c>
      <c r="AO25" s="45">
        <f t="shared" ca="1" si="66"/>
        <v>1.4343201888159805E-15</v>
      </c>
      <c r="AP25" s="45">
        <f t="shared" ca="1" si="66"/>
        <v>4.0610341130203263E-16</v>
      </c>
      <c r="AQ25" s="45">
        <f t="shared" ca="1" si="66"/>
        <v>1.1861636441901125E-16</v>
      </c>
      <c r="AR25" s="45">
        <f t="shared" ca="1" si="66"/>
        <v>3.5692723321314289E-17</v>
      </c>
      <c r="AS25" s="45">
        <f t="shared" ca="1" si="66"/>
        <v>1.1050559213935465E-17</v>
      </c>
      <c r="AT25" s="45">
        <f t="shared" ca="1" si="66"/>
        <v>3.5158612567941724E-18</v>
      </c>
      <c r="AU25" s="45">
        <f t="shared" ca="1" si="66"/>
        <v>1.1482191925143325E-18</v>
      </c>
      <c r="AV25" s="45">
        <f t="shared" ca="1" si="66"/>
        <v>3.8449771108529418E-19</v>
      </c>
      <c r="AW25" s="45">
        <f t="shared" ca="1" si="66"/>
        <v>1.3188481950224334E-19</v>
      </c>
      <c r="AX25" s="45">
        <f t="shared" ca="1" si="67"/>
        <v>4.6292272265908697E-20</v>
      </c>
      <c r="AY25" s="45">
        <f t="shared" ca="1" si="67"/>
        <v>1.6612622082314513E-20</v>
      </c>
      <c r="AZ25" s="45">
        <f t="shared" ca="1" si="67"/>
        <v>6.0898772787725026E-21</v>
      </c>
      <c r="BA25" s="45">
        <f t="shared" ca="1" si="67"/>
        <v>2.2785769963702944E-21</v>
      </c>
      <c r="BB25" s="45">
        <f t="shared" ca="1" si="67"/>
        <v>8.694860860829126E-22</v>
      </c>
      <c r="BC25" s="45">
        <f t="shared" ca="1" si="67"/>
        <v>3.3810793139639071E-22</v>
      </c>
      <c r="BD25" s="45">
        <f t="shared" ca="1" si="67"/>
        <v>1.3382532825492232E-22</v>
      </c>
      <c r="BE25" s="45">
        <f t="shared" ca="1" si="67"/>
        <v>5.3724143199243449E-23</v>
      </c>
      <c r="BF25" s="45">
        <f t="shared" ca="1" si="67"/>
        <v>2.1478351742972173E-23</v>
      </c>
      <c r="BG25" s="45">
        <f t="shared" ca="1" si="67"/>
        <v>7.6104184101927117E-24</v>
      </c>
      <c r="BH25" s="29">
        <f t="shared" si="68"/>
        <v>0</v>
      </c>
    </row>
    <row r="26" spans="1:60" x14ac:dyDescent="0.25">
      <c r="A26" s="1" t="s">
        <v>0</v>
      </c>
      <c r="B26" s="79">
        <v>50</v>
      </c>
      <c r="E26" t="s">
        <v>6</v>
      </c>
      <c r="G26" s="5">
        <f t="shared" si="69"/>
        <v>0.6</v>
      </c>
      <c r="H26" s="5">
        <f t="shared" si="71"/>
        <v>7</v>
      </c>
      <c r="I26" s="2">
        <f t="shared" si="70"/>
        <v>4.9863013698630138E-2</v>
      </c>
      <c r="J26" s="4">
        <f t="shared" si="72"/>
        <v>50</v>
      </c>
      <c r="K26" s="19">
        <f t="shared" ca="1" si="63"/>
        <v>45.454999999999998</v>
      </c>
      <c r="L26" s="19">
        <f t="shared" ca="1" si="63"/>
        <v>40.909999999999997</v>
      </c>
      <c r="M26" s="19">
        <f t="shared" ca="1" si="63"/>
        <v>36.365000000000002</v>
      </c>
      <c r="N26" s="19">
        <f t="shared" ca="1" si="63"/>
        <v>31.82</v>
      </c>
      <c r="O26" s="19">
        <f t="shared" ca="1" si="63"/>
        <v>27.274999999999999</v>
      </c>
      <c r="P26" s="19">
        <f t="shared" ca="1" si="63"/>
        <v>22.73</v>
      </c>
      <c r="Q26" s="19">
        <f t="shared" ca="1" si="63"/>
        <v>18.185000000000002</v>
      </c>
      <c r="R26" s="19">
        <f t="shared" ca="1" si="63"/>
        <v>13.64</v>
      </c>
      <c r="S26" s="19">
        <f t="shared" ca="1" si="63"/>
        <v>9.0971012841936663</v>
      </c>
      <c r="T26" s="19">
        <f t="shared" ca="1" si="63"/>
        <v>4.599326509558491</v>
      </c>
      <c r="U26" s="19">
        <f t="shared" ca="1" si="64"/>
        <v>0.62058547980318268</v>
      </c>
      <c r="V26" s="19">
        <f t="shared" ca="1" si="64"/>
        <v>6.8659984382716199E-2</v>
      </c>
      <c r="W26" s="19">
        <f t="shared" ca="1" si="64"/>
        <v>7.3840488855707667E-3</v>
      </c>
      <c r="X26" s="19">
        <f t="shared" ca="1" si="64"/>
        <v>8.1670769521424832E-4</v>
      </c>
      <c r="Y26" s="19">
        <f t="shared" ca="1" si="64"/>
        <v>9.5037491959376846E-5</v>
      </c>
      <c r="Z26" s="19">
        <f t="shared" ca="1" si="64"/>
        <v>1.1746047322741614E-5</v>
      </c>
      <c r="AA26" s="19">
        <f t="shared" ca="1" si="64"/>
        <v>1.5471609313664477E-6</v>
      </c>
      <c r="AB26" s="19">
        <f t="shared" ca="1" si="64"/>
        <v>2.1726866733341882E-7</v>
      </c>
      <c r="AC26" s="19">
        <f t="shared" ca="1" si="64"/>
        <v>3.2491595904076478E-8</v>
      </c>
      <c r="AD26" s="45">
        <f t="shared" ca="1" si="65"/>
        <v>5.1641681822236759E-9</v>
      </c>
      <c r="AE26" s="45">
        <f t="shared" ca="1" si="65"/>
        <v>8.7026895518496837E-10</v>
      </c>
      <c r="AF26" s="45">
        <f t="shared" ca="1" si="65"/>
        <v>1.5510427143535777E-10</v>
      </c>
      <c r="AG26" s="45">
        <f t="shared" ca="1" si="65"/>
        <v>2.9159959966305188E-11</v>
      </c>
      <c r="AH26" s="45">
        <f t="shared" ca="1" si="65"/>
        <v>5.7681207225093259E-12</v>
      </c>
      <c r="AI26" s="45">
        <f t="shared" ca="1" si="65"/>
        <v>1.1975453635138567E-12</v>
      </c>
      <c r="AJ26" s="45">
        <f t="shared" ca="1" si="65"/>
        <v>2.6033394877200158E-13</v>
      </c>
      <c r="AK26" s="45">
        <f t="shared" ca="1" si="65"/>
        <v>5.9125116076319697E-14</v>
      </c>
      <c r="AL26" s="45">
        <f t="shared" ca="1" si="65"/>
        <v>1.3998736749611423E-14</v>
      </c>
      <c r="AM26" s="45">
        <f t="shared" ca="1" si="65"/>
        <v>3.4483125768987083E-15</v>
      </c>
      <c r="AN26" s="45">
        <f t="shared" ca="1" si="66"/>
        <v>8.820666214292201E-16</v>
      </c>
      <c r="AO26" s="45">
        <f t="shared" ca="1" si="66"/>
        <v>2.3388260514011894E-16</v>
      </c>
      <c r="AP26" s="45">
        <f t="shared" ca="1" si="66"/>
        <v>6.4175221997201013E-17</v>
      </c>
      <c r="AQ26" s="45">
        <f t="shared" ca="1" si="66"/>
        <v>1.8193853622576705E-17</v>
      </c>
      <c r="AR26" s="45">
        <f t="shared" ca="1" si="66"/>
        <v>5.3214008095831203E-18</v>
      </c>
      <c r="AS26" s="45">
        <f t="shared" ca="1" si="66"/>
        <v>1.6034885769384737E-18</v>
      </c>
      <c r="AT26" s="45">
        <f t="shared" ca="1" si="66"/>
        <v>4.9713588522388467E-19</v>
      </c>
      <c r="AU26" s="45">
        <f t="shared" ca="1" si="66"/>
        <v>1.5838646827243211E-19</v>
      </c>
      <c r="AV26" s="45">
        <f t="shared" ca="1" si="66"/>
        <v>5.1795319358470731E-20</v>
      </c>
      <c r="AW26" s="45">
        <f t="shared" ca="1" si="66"/>
        <v>1.7366705777704633E-20</v>
      </c>
      <c r="AX26" s="45">
        <f t="shared" ca="1" si="67"/>
        <v>5.9641854597284239E-21</v>
      </c>
      <c r="AY26" s="45">
        <f t="shared" ca="1" si="67"/>
        <v>2.0958937229979182E-21</v>
      </c>
      <c r="AZ26" s="45">
        <f t="shared" ca="1" si="67"/>
        <v>7.5296202375331134E-22</v>
      </c>
      <c r="BA26" s="45">
        <f t="shared" ca="1" si="67"/>
        <v>2.7630291385390775E-22</v>
      </c>
      <c r="BB26" s="45">
        <f t="shared" ca="1" si="67"/>
        <v>1.0347764612141868E-22</v>
      </c>
      <c r="BC26" s="45">
        <f t="shared" ca="1" si="67"/>
        <v>3.9517772810127361E-23</v>
      </c>
      <c r="BD26" s="45">
        <f t="shared" ca="1" si="67"/>
        <v>1.5371764118983272E-23</v>
      </c>
      <c r="BE26" s="45">
        <f t="shared" ca="1" si="67"/>
        <v>6.0697996943163145E-24</v>
      </c>
      <c r="BF26" s="45">
        <f t="shared" ca="1" si="67"/>
        <v>2.3906659757108586E-24</v>
      </c>
      <c r="BG26" s="45">
        <f t="shared" ca="1" si="67"/>
        <v>8.3759144663806813E-25</v>
      </c>
      <c r="BH26" s="29">
        <f t="shared" si="68"/>
        <v>0</v>
      </c>
    </row>
    <row r="27" spans="1:60" x14ac:dyDescent="0.25">
      <c r="A27" s="1" t="s">
        <v>14</v>
      </c>
      <c r="B27" s="1">
        <v>0</v>
      </c>
      <c r="G27" s="5">
        <f t="shared" si="69"/>
        <v>0.7</v>
      </c>
      <c r="H27" s="5">
        <f t="shared" si="71"/>
        <v>8</v>
      </c>
      <c r="I27" s="2">
        <f t="shared" si="70"/>
        <v>5.6986301369863011E-2</v>
      </c>
      <c r="J27" s="4">
        <f t="shared" si="72"/>
        <v>50</v>
      </c>
      <c r="K27" s="19">
        <f t="shared" ca="1" si="63"/>
        <v>45.454999999999998</v>
      </c>
      <c r="L27" s="19">
        <f t="shared" ca="1" si="63"/>
        <v>40.909999999999997</v>
      </c>
      <c r="M27" s="19">
        <f t="shared" ca="1" si="63"/>
        <v>36.365000000000002</v>
      </c>
      <c r="N27" s="19">
        <f t="shared" ca="1" si="63"/>
        <v>31.82</v>
      </c>
      <c r="O27" s="19">
        <f t="shared" ca="1" si="63"/>
        <v>27.274999999999999</v>
      </c>
      <c r="P27" s="19">
        <f t="shared" ca="1" si="63"/>
        <v>22.73</v>
      </c>
      <c r="Q27" s="19">
        <f t="shared" ca="1" si="63"/>
        <v>18.185000000000002</v>
      </c>
      <c r="R27" s="19">
        <f t="shared" ca="1" si="63"/>
        <v>13.64</v>
      </c>
      <c r="S27" s="19">
        <f t="shared" ca="1" si="63"/>
        <v>9.0957109596024441</v>
      </c>
      <c r="T27" s="19">
        <f t="shared" ca="1" si="63"/>
        <v>4.5760526835099018</v>
      </c>
      <c r="U27" s="19">
        <f t="shared" ca="1" si="64"/>
        <v>0.43367820634862125</v>
      </c>
      <c r="V27" s="19">
        <f t="shared" ca="1" si="64"/>
        <v>3.6810845172409082E-2</v>
      </c>
      <c r="W27" s="19">
        <f t="shared" ca="1" si="64"/>
        <v>3.2162133871205174E-3</v>
      </c>
      <c r="X27" s="19">
        <f t="shared" ca="1" si="64"/>
        <v>3.0021880226111479E-4</v>
      </c>
      <c r="Y27" s="19">
        <f t="shared" ca="1" si="64"/>
        <v>3.0288527519535932E-5</v>
      </c>
      <c r="Z27" s="19">
        <f t="shared" ca="1" si="64"/>
        <v>3.311031660749765E-6</v>
      </c>
      <c r="AA27" s="19">
        <f t="shared" ca="1" si="64"/>
        <v>3.9172570341833438E-7</v>
      </c>
      <c r="AB27" s="19">
        <f t="shared" ca="1" si="64"/>
        <v>5.0017926104704603E-8</v>
      </c>
      <c r="AC27" s="19">
        <f t="shared" ca="1" si="64"/>
        <v>6.8690008714726951E-9</v>
      </c>
      <c r="AD27" s="45">
        <f t="shared" ca="1" si="65"/>
        <v>1.0108521112518007E-9</v>
      </c>
      <c r="AE27" s="45">
        <f t="shared" ca="1" si="65"/>
        <v>1.5882149974872498E-10</v>
      </c>
      <c r="AF27" s="45">
        <f t="shared" ca="1" si="65"/>
        <v>2.6546579043529812E-11</v>
      </c>
      <c r="AG27" s="45">
        <f t="shared" ca="1" si="65"/>
        <v>4.7044386594982239E-12</v>
      </c>
      <c r="AH27" s="45">
        <f t="shared" ca="1" si="65"/>
        <v>8.8107358766436211E-13</v>
      </c>
      <c r="AI27" s="45">
        <f t="shared" ca="1" si="65"/>
        <v>1.7386516458137106E-13</v>
      </c>
      <c r="AJ27" s="45">
        <f t="shared" ca="1" si="65"/>
        <v>3.604827994341465E-14</v>
      </c>
      <c r="AK27" s="45">
        <f t="shared" ca="1" si="65"/>
        <v>7.832222909763462E-15</v>
      </c>
      <c r="AL27" s="45">
        <f t="shared" ca="1" si="65"/>
        <v>1.7788855505642028E-15</v>
      </c>
      <c r="AM27" s="45">
        <f t="shared" ca="1" si="65"/>
        <v>4.2138547702381797E-16</v>
      </c>
      <c r="AN27" s="45">
        <f t="shared" ca="1" si="66"/>
        <v>1.0388503969132996E-16</v>
      </c>
      <c r="AO27" s="45">
        <f t="shared" ca="1" si="66"/>
        <v>2.6601367835591709E-17</v>
      </c>
      <c r="AP27" s="45">
        <f t="shared" ca="1" si="66"/>
        <v>7.0619676205865086E-18</v>
      </c>
      <c r="AQ27" s="45">
        <f t="shared" ca="1" si="66"/>
        <v>1.9402818791706477E-18</v>
      </c>
      <c r="AR27" s="45">
        <f t="shared" ca="1" si="66"/>
        <v>5.5082929328707746E-19</v>
      </c>
      <c r="AS27" s="45">
        <f t="shared" ca="1" si="66"/>
        <v>1.6133309457154361E-19</v>
      </c>
      <c r="AT27" s="45">
        <f t="shared" ca="1" si="66"/>
        <v>4.8681862402990362E-20</v>
      </c>
      <c r="AU27" s="45">
        <f t="shared" ca="1" si="66"/>
        <v>1.5113670035348291E-20</v>
      </c>
      <c r="AV27" s="45">
        <f t="shared" ca="1" si="66"/>
        <v>4.8215782755987453E-21</v>
      </c>
      <c r="AW27" s="45">
        <f t="shared" ca="1" si="66"/>
        <v>1.5787581242913056E-21</v>
      </c>
      <c r="AX27" s="45">
        <f t="shared" ca="1" si="67"/>
        <v>5.2999309175445745E-22</v>
      </c>
      <c r="AY27" s="45">
        <f t="shared" ca="1" si="67"/>
        <v>1.822227138150544E-22</v>
      </c>
      <c r="AZ27" s="45">
        <f t="shared" ca="1" si="67"/>
        <v>6.4104447331239529E-23</v>
      </c>
      <c r="BA27" s="45">
        <f t="shared" ca="1" si="67"/>
        <v>2.3052964866274234E-23</v>
      </c>
      <c r="BB27" s="45">
        <f t="shared" ca="1" si="67"/>
        <v>8.4671609988375485E-24</v>
      </c>
      <c r="BC27" s="45">
        <f t="shared" ca="1" si="67"/>
        <v>3.1735223782387604E-24</v>
      </c>
      <c r="BD27" s="45">
        <f t="shared" ca="1" si="67"/>
        <v>1.2123828060585392E-24</v>
      </c>
      <c r="BE27" s="45">
        <f t="shared" ca="1" si="67"/>
        <v>4.7058505989524426E-25</v>
      </c>
      <c r="BF27" s="45">
        <f t="shared" ca="1" si="67"/>
        <v>1.8248718473566395E-25</v>
      </c>
      <c r="BG27" s="45">
        <f t="shared" ca="1" si="67"/>
        <v>6.3186800148142429E-26</v>
      </c>
      <c r="BH27" s="29">
        <f t="shared" ref="BH27:BH28" si="73">IF($B$25="C",$AD$18-$B$26,0)</f>
        <v>0</v>
      </c>
    </row>
    <row r="28" spans="1:60" x14ac:dyDescent="0.25">
      <c r="A28" s="1" t="s">
        <v>15</v>
      </c>
      <c r="B28" s="54">
        <v>3.8E-3</v>
      </c>
      <c r="G28" s="5">
        <f t="shared" si="69"/>
        <v>0.8</v>
      </c>
      <c r="H28" s="5">
        <f t="shared" si="71"/>
        <v>9</v>
      </c>
      <c r="I28" s="2">
        <f t="shared" si="70"/>
        <v>6.4109589041095885E-2</v>
      </c>
      <c r="J28" s="4">
        <f t="shared" si="72"/>
        <v>50</v>
      </c>
      <c r="K28" s="19">
        <f t="shared" ca="1" si="63"/>
        <v>45.454999999999998</v>
      </c>
      <c r="L28" s="19">
        <f t="shared" ca="1" si="63"/>
        <v>40.909999999999997</v>
      </c>
      <c r="M28" s="19">
        <f t="shared" ca="1" si="63"/>
        <v>36.365000000000002</v>
      </c>
      <c r="N28" s="19">
        <f t="shared" ca="1" si="63"/>
        <v>31.82</v>
      </c>
      <c r="O28" s="19">
        <f t="shared" ca="1" si="63"/>
        <v>27.274999999999999</v>
      </c>
      <c r="P28" s="19">
        <f t="shared" ca="1" si="63"/>
        <v>22.73</v>
      </c>
      <c r="Q28" s="19">
        <f t="shared" ca="1" si="63"/>
        <v>18.185000000000002</v>
      </c>
      <c r="R28" s="19">
        <f t="shared" ca="1" si="63"/>
        <v>13.64</v>
      </c>
      <c r="S28" s="19">
        <f t="shared" ca="1" si="63"/>
        <v>9.0950702962318957</v>
      </c>
      <c r="T28" s="19">
        <f t="shared" ca="1" si="63"/>
        <v>4.5591683919616708</v>
      </c>
      <c r="U28" s="19">
        <f t="shared" ca="1" si="64"/>
        <v>0.229382058364585</v>
      </c>
      <c r="V28" s="19">
        <f t="shared" ca="1" si="64"/>
        <v>1.3229635822465148E-2</v>
      </c>
      <c r="W28" s="19">
        <f t="shared" ca="1" si="64"/>
        <v>8.7901419822488584E-4</v>
      </c>
      <c r="X28" s="19">
        <f t="shared" ca="1" si="64"/>
        <v>6.6426339218827335E-5</v>
      </c>
      <c r="Y28" s="19">
        <f t="shared" ca="1" si="64"/>
        <v>5.6463503714195679E-6</v>
      </c>
      <c r="Z28" s="19">
        <f t="shared" ca="1" si="64"/>
        <v>5.3465726855052741E-7</v>
      </c>
      <c r="AA28" s="19">
        <f t="shared" ca="1" si="64"/>
        <v>5.5919680293076805E-8</v>
      </c>
      <c r="AB28" s="19">
        <f t="shared" ca="1" si="64"/>
        <v>6.4114879789799521E-9</v>
      </c>
      <c r="AC28" s="19">
        <f t="shared" ca="1" si="64"/>
        <v>8.0045753571182017E-10</v>
      </c>
      <c r="AD28" s="45">
        <f t="shared" ca="1" si="65"/>
        <v>1.0816538210349945E-10</v>
      </c>
      <c r="AE28" s="45">
        <f t="shared" ca="1" si="65"/>
        <v>1.5734629638435019E-11</v>
      </c>
      <c r="AF28" s="45">
        <f t="shared" ca="1" si="65"/>
        <v>2.4519884351299771E-12</v>
      </c>
      <c r="AG28" s="45">
        <f t="shared" ca="1" si="65"/>
        <v>4.0751926520710223E-13</v>
      </c>
      <c r="AH28" s="45">
        <f t="shared" ca="1" si="65"/>
        <v>7.1943968120649232E-14</v>
      </c>
      <c r="AI28" s="45">
        <f t="shared" ca="1" si="65"/>
        <v>1.3441873670448513E-14</v>
      </c>
      <c r="AJ28" s="45">
        <f t="shared" ca="1" si="65"/>
        <v>2.6490097611937888E-15</v>
      </c>
      <c r="AK28" s="45">
        <f t="shared" ca="1" si="65"/>
        <v>5.4894175068897453E-16</v>
      </c>
      <c r="AL28" s="45">
        <f t="shared" ca="1" si="65"/>
        <v>1.1927709994865617E-16</v>
      </c>
      <c r="AM28" s="45">
        <f t="shared" ca="1" si="65"/>
        <v>2.7104562749660977E-17</v>
      </c>
      <c r="AN28" s="45">
        <f t="shared" ca="1" si="66"/>
        <v>6.4259323731875944E-18</v>
      </c>
      <c r="AO28" s="45">
        <f t="shared" ca="1" si="66"/>
        <v>1.5858826839713482E-18</v>
      </c>
      <c r="AP28" s="45">
        <f t="shared" ca="1" si="66"/>
        <v>4.0658483690515692E-19</v>
      </c>
      <c r="AQ28" s="45">
        <f t="shared" ca="1" si="66"/>
        <v>1.080799637210663E-19</v>
      </c>
      <c r="AR28" s="45">
        <f t="shared" ca="1" si="66"/>
        <v>2.9735858065167245E-20</v>
      </c>
      <c r="AS28" s="45">
        <f t="shared" ca="1" si="66"/>
        <v>8.4535253319454363E-21</v>
      </c>
      <c r="AT28" s="45">
        <f t="shared" ca="1" si="66"/>
        <v>2.4794018419408528E-21</v>
      </c>
      <c r="AU28" s="45">
        <f t="shared" ca="1" si="66"/>
        <v>7.4917245090892441E-22</v>
      </c>
      <c r="AV28" s="45">
        <f t="shared" ca="1" si="66"/>
        <v>2.3289353886271236E-22</v>
      </c>
      <c r="AW28" s="45">
        <f t="shared" ca="1" si="66"/>
        <v>7.4391996605300496E-23</v>
      </c>
      <c r="AX28" s="45">
        <f t="shared" ca="1" si="67"/>
        <v>2.4387926785194423E-23</v>
      </c>
      <c r="AY28" s="45">
        <f t="shared" ca="1" si="67"/>
        <v>8.1963754618740678E-24</v>
      </c>
      <c r="AZ28" s="45">
        <f t="shared" ca="1" si="67"/>
        <v>2.8210749960267292E-24</v>
      </c>
      <c r="BA28" s="45">
        <f t="shared" ca="1" si="67"/>
        <v>9.9340740737589943E-25</v>
      </c>
      <c r="BB28" s="45">
        <f t="shared" ca="1" si="67"/>
        <v>3.5756649800452889E-25</v>
      </c>
      <c r="BC28" s="45">
        <f t="shared" ca="1" si="67"/>
        <v>1.3143325286770508E-25</v>
      </c>
      <c r="BD28" s="45">
        <f t="shared" ca="1" si="67"/>
        <v>4.9280233107796143E-26</v>
      </c>
      <c r="BE28" s="45">
        <f t="shared" ca="1" si="67"/>
        <v>1.8790223909526086E-26</v>
      </c>
      <c r="BF28" s="45">
        <f t="shared" ca="1" si="67"/>
        <v>7.1696481081960947E-27</v>
      </c>
      <c r="BG28" s="45">
        <f t="shared" ca="1" si="67"/>
        <v>2.4520740977232333E-27</v>
      </c>
      <c r="BH28" s="29">
        <f t="shared" si="73"/>
        <v>0</v>
      </c>
    </row>
    <row r="29" spans="1:60" x14ac:dyDescent="0.25">
      <c r="A29" s="1" t="s">
        <v>16</v>
      </c>
      <c r="B29" s="77">
        <v>0.35576999999999998</v>
      </c>
      <c r="G29" s="5">
        <f t="shared" si="69"/>
        <v>0.9</v>
      </c>
      <c r="H29" s="5">
        <f t="shared" si="71"/>
        <v>10</v>
      </c>
      <c r="I29" s="2">
        <f t="shared" si="70"/>
        <v>7.1232876712328766E-2</v>
      </c>
      <c r="J29" s="3">
        <f>MAX(IF($B$25="C",1,-1)*(J$18-$B$26),0)</f>
        <v>50</v>
      </c>
      <c r="K29" s="3">
        <f t="shared" ref="K29:BH29" si="74">MAX(IF($B$25="C",1,-1)*(K$18-$B$26),0)</f>
        <v>45.454999999999998</v>
      </c>
      <c r="L29" s="3">
        <f t="shared" si="74"/>
        <v>40.909999999999997</v>
      </c>
      <c r="M29" s="3">
        <f t="shared" si="74"/>
        <v>36.365000000000002</v>
      </c>
      <c r="N29" s="3">
        <f>MAX(IF($B$25="C",1,-1)*(N$18-$B$26),0)</f>
        <v>31.82</v>
      </c>
      <c r="O29" s="3">
        <f t="shared" si="74"/>
        <v>27.274999999999999</v>
      </c>
      <c r="P29" s="3">
        <f t="shared" si="74"/>
        <v>22.73</v>
      </c>
      <c r="Q29" s="3">
        <f t="shared" si="74"/>
        <v>18.185000000000002</v>
      </c>
      <c r="R29" s="3">
        <f t="shared" si="74"/>
        <v>13.64</v>
      </c>
      <c r="S29" s="3">
        <f t="shared" si="74"/>
        <v>9.0949999999999989</v>
      </c>
      <c r="T29" s="3">
        <f t="shared" si="74"/>
        <v>4.5499999999999972</v>
      </c>
      <c r="U29" s="3">
        <f>MAX(IF($B$25="C",1,-1)*(U$18-$B$26),0)</f>
        <v>5.000000000002558E-3</v>
      </c>
      <c r="V29" s="3">
        <f t="shared" si="74"/>
        <v>0</v>
      </c>
      <c r="W29" s="3">
        <f t="shared" si="74"/>
        <v>0</v>
      </c>
      <c r="X29" s="3">
        <f t="shared" si="74"/>
        <v>0</v>
      </c>
      <c r="Y29" s="3">
        <f t="shared" si="74"/>
        <v>0</v>
      </c>
      <c r="Z29" s="3">
        <f t="shared" si="74"/>
        <v>0</v>
      </c>
      <c r="AA29" s="3">
        <f t="shared" si="74"/>
        <v>0</v>
      </c>
      <c r="AB29" s="3">
        <f t="shared" si="74"/>
        <v>0</v>
      </c>
      <c r="AC29" s="3">
        <f t="shared" si="74"/>
        <v>0</v>
      </c>
      <c r="AD29" s="28">
        <f t="shared" si="74"/>
        <v>0</v>
      </c>
      <c r="AE29" s="28">
        <f t="shared" si="74"/>
        <v>0</v>
      </c>
      <c r="AF29" s="28">
        <f t="shared" si="74"/>
        <v>0</v>
      </c>
      <c r="AG29" s="28">
        <f t="shared" si="74"/>
        <v>0</v>
      </c>
      <c r="AH29" s="28">
        <f t="shared" si="74"/>
        <v>0</v>
      </c>
      <c r="AI29" s="28">
        <f t="shared" si="74"/>
        <v>0</v>
      </c>
      <c r="AJ29" s="28">
        <f t="shared" si="74"/>
        <v>0</v>
      </c>
      <c r="AK29" s="28">
        <f t="shared" si="74"/>
        <v>0</v>
      </c>
      <c r="AL29" s="28">
        <f t="shared" si="74"/>
        <v>0</v>
      </c>
      <c r="AM29" s="28">
        <f t="shared" si="74"/>
        <v>0</v>
      </c>
      <c r="AN29" s="28">
        <f t="shared" si="74"/>
        <v>0</v>
      </c>
      <c r="AO29" s="28">
        <f t="shared" si="74"/>
        <v>0</v>
      </c>
      <c r="AP29" s="28">
        <f t="shared" si="74"/>
        <v>0</v>
      </c>
      <c r="AQ29" s="28">
        <f t="shared" si="74"/>
        <v>0</v>
      </c>
      <c r="AR29" s="28">
        <f t="shared" si="74"/>
        <v>0</v>
      </c>
      <c r="AS29" s="28">
        <f t="shared" si="74"/>
        <v>0</v>
      </c>
      <c r="AT29" s="28">
        <f t="shared" si="74"/>
        <v>0</v>
      </c>
      <c r="AU29" s="28">
        <f t="shared" si="74"/>
        <v>0</v>
      </c>
      <c r="AV29" s="28">
        <f t="shared" si="74"/>
        <v>0</v>
      </c>
      <c r="AW29" s="28">
        <f t="shared" si="74"/>
        <v>0</v>
      </c>
      <c r="AX29" s="28">
        <f t="shared" si="74"/>
        <v>0</v>
      </c>
      <c r="AY29" s="28">
        <f t="shared" si="74"/>
        <v>0</v>
      </c>
      <c r="AZ29" s="28">
        <f t="shared" si="74"/>
        <v>0</v>
      </c>
      <c r="BA29" s="28">
        <f t="shared" si="74"/>
        <v>0</v>
      </c>
      <c r="BB29" s="28">
        <f t="shared" si="74"/>
        <v>0</v>
      </c>
      <c r="BC29" s="28">
        <f t="shared" si="74"/>
        <v>0</v>
      </c>
      <c r="BD29" s="28">
        <f t="shared" si="74"/>
        <v>0</v>
      </c>
      <c r="BE29" s="28">
        <f t="shared" si="74"/>
        <v>0</v>
      </c>
      <c r="BF29" s="28">
        <f t="shared" si="74"/>
        <v>0</v>
      </c>
      <c r="BG29" s="28">
        <f t="shared" si="74"/>
        <v>0</v>
      </c>
      <c r="BH29" s="28">
        <f t="shared" si="74"/>
        <v>0</v>
      </c>
    </row>
    <row r="30" spans="1:60" x14ac:dyDescent="0.25">
      <c r="H30" s="1"/>
      <c r="J30" s="13"/>
    </row>
    <row r="31" spans="1:60" x14ac:dyDescent="0.25">
      <c r="A31" s="1" t="s">
        <v>17</v>
      </c>
      <c r="B31">
        <f>0.5*(B28-B27)*B19</f>
        <v>1.3534246575342465E-5</v>
      </c>
      <c r="H31" s="1"/>
      <c r="I31" s="1" t="s">
        <v>1</v>
      </c>
      <c r="J31" s="16"/>
      <c r="K31" s="7">
        <f>-$B$32*K$17*K$17</f>
        <v>-4.5080542676712325E-4</v>
      </c>
      <c r="L31" s="32">
        <f>-$B$32*L$17*L$17</f>
        <v>-1.803221707068493E-3</v>
      </c>
      <c r="M31" s="32">
        <f t="shared" ref="M31:BG31" si="75">-$B$32*M$17*M$17</f>
        <v>-4.0572488409041096E-3</v>
      </c>
      <c r="N31" s="32">
        <f t="shared" si="75"/>
        <v>-7.2128868282739719E-3</v>
      </c>
      <c r="O31" s="32">
        <f t="shared" si="75"/>
        <v>-1.1270135669178082E-2</v>
      </c>
      <c r="P31" s="32">
        <f t="shared" si="75"/>
        <v>-1.6228995363616439E-2</v>
      </c>
      <c r="Q31" s="32">
        <f t="shared" si="75"/>
        <v>-2.2089465911589039E-2</v>
      </c>
      <c r="R31" s="32">
        <f t="shared" si="75"/>
        <v>-2.8851547313095888E-2</v>
      </c>
      <c r="S31" s="32">
        <f t="shared" si="75"/>
        <v>-3.6515239568136987E-2</v>
      </c>
      <c r="T31" s="32">
        <f t="shared" si="75"/>
        <v>-4.5080542676712326E-2</v>
      </c>
      <c r="U31" s="32">
        <f t="shared" si="75"/>
        <v>-5.4547456638821906E-2</v>
      </c>
      <c r="V31" s="32">
        <f t="shared" si="75"/>
        <v>-6.4915981454465754E-2</v>
      </c>
      <c r="W31" s="32">
        <f t="shared" si="75"/>
        <v>-7.6186117123643829E-2</v>
      </c>
      <c r="X31" s="32">
        <f t="shared" si="75"/>
        <v>-8.8357863646356158E-2</v>
      </c>
      <c r="Y31" s="32">
        <f t="shared" si="75"/>
        <v>-0.10143122102260273</v>
      </c>
      <c r="Z31" s="32">
        <f t="shared" si="75"/>
        <v>-0.11540618925238355</v>
      </c>
      <c r="AA31" s="32">
        <f t="shared" si="75"/>
        <v>-0.13028276833569863</v>
      </c>
      <c r="AB31" s="32">
        <f t="shared" si="75"/>
        <v>-0.14606095827254795</v>
      </c>
      <c r="AC31" s="32">
        <f t="shared" si="75"/>
        <v>-0.16274075906293148</v>
      </c>
      <c r="AD31" s="32">
        <f t="shared" si="75"/>
        <v>-0.18032217070684931</v>
      </c>
      <c r="AE31" s="32">
        <f t="shared" si="75"/>
        <v>-0.19880519320430137</v>
      </c>
      <c r="AF31" s="32">
        <f t="shared" si="75"/>
        <v>-0.21818982655528762</v>
      </c>
      <c r="AG31" s="32">
        <f t="shared" si="75"/>
        <v>-0.2384760707598082</v>
      </c>
      <c r="AH31" s="32">
        <f t="shared" si="75"/>
        <v>-0.25966392581786302</v>
      </c>
      <c r="AI31" s="32">
        <f t="shared" si="75"/>
        <v>-0.28175339172945202</v>
      </c>
      <c r="AJ31" s="32">
        <f t="shared" si="75"/>
        <v>-0.30474446849457532</v>
      </c>
      <c r="AK31" s="32">
        <f t="shared" si="75"/>
        <v>-0.32863715611323285</v>
      </c>
      <c r="AL31" s="32">
        <f t="shared" si="75"/>
        <v>-0.35343145458542463</v>
      </c>
      <c r="AM31" s="32">
        <f t="shared" si="75"/>
        <v>-0.37912736391115065</v>
      </c>
      <c r="AN31" s="32">
        <f t="shared" si="75"/>
        <v>-0.40572488409041091</v>
      </c>
      <c r="AO31" s="32">
        <f t="shared" si="75"/>
        <v>-0.43322401512320541</v>
      </c>
      <c r="AP31" s="32">
        <f t="shared" si="75"/>
        <v>-0.4616247570095342</v>
      </c>
      <c r="AQ31" s="32">
        <f t="shared" si="75"/>
        <v>-0.49092710974939724</v>
      </c>
      <c r="AR31" s="32">
        <f t="shared" si="75"/>
        <v>-0.52113107334279452</v>
      </c>
      <c r="AS31" s="32">
        <f t="shared" si="75"/>
        <v>-0.55223664778972603</v>
      </c>
      <c r="AT31" s="32">
        <f t="shared" si="75"/>
        <v>-0.58424383309019179</v>
      </c>
      <c r="AU31" s="32">
        <f t="shared" si="75"/>
        <v>-0.61715262924419168</v>
      </c>
      <c r="AV31" s="32">
        <f t="shared" si="75"/>
        <v>-0.65096303625172591</v>
      </c>
      <c r="AW31" s="32">
        <f t="shared" si="75"/>
        <v>-0.68567505411279439</v>
      </c>
      <c r="AX31" s="32">
        <f t="shared" si="75"/>
        <v>-0.72128868282739722</v>
      </c>
      <c r="AY31" s="32">
        <f t="shared" si="75"/>
        <v>-0.75780392239553418</v>
      </c>
      <c r="AZ31" s="32">
        <f t="shared" si="75"/>
        <v>-0.79522077281720549</v>
      </c>
      <c r="BA31" s="32">
        <f t="shared" si="75"/>
        <v>-0.83353923409241093</v>
      </c>
      <c r="BB31" s="32">
        <f t="shared" si="75"/>
        <v>-0.8727593062211505</v>
      </c>
      <c r="BC31" s="32">
        <f t="shared" si="75"/>
        <v>-0.91288098920342453</v>
      </c>
      <c r="BD31" s="32">
        <f t="shared" si="75"/>
        <v>-0.9539042830392328</v>
      </c>
      <c r="BE31" s="32">
        <f t="shared" si="75"/>
        <v>-0.9958291877285752</v>
      </c>
      <c r="BF31" s="32">
        <f t="shared" si="75"/>
        <v>-1.0386557032714521</v>
      </c>
      <c r="BG31" s="32">
        <f t="shared" si="75"/>
        <v>-1.082383829667863</v>
      </c>
    </row>
    <row r="32" spans="1:60" x14ac:dyDescent="0.25">
      <c r="A32" s="1" t="s">
        <v>18</v>
      </c>
      <c r="B32">
        <f>0.5*B29*B29*B19</f>
        <v>4.5080542676712325E-4</v>
      </c>
      <c r="H32" s="1"/>
      <c r="I32" s="1" t="s">
        <v>2</v>
      </c>
      <c r="J32" s="16"/>
      <c r="K32" s="7">
        <f>1+2*$B$32*K$17*K$17+$B$28*$B$19</f>
        <v>1.0009286793466849</v>
      </c>
      <c r="L32" s="32">
        <f t="shared" ref="L32:BG32" si="76">1+2*$B$32*L$17*L$17+$B$28*$B$19</f>
        <v>1.0036335119072877</v>
      </c>
      <c r="M32" s="32">
        <f t="shared" si="76"/>
        <v>1.0081415661749589</v>
      </c>
      <c r="N32" s="32">
        <f t="shared" si="76"/>
        <v>1.0144528421496986</v>
      </c>
      <c r="O32" s="32">
        <f t="shared" si="76"/>
        <v>1.0225673398315069</v>
      </c>
      <c r="P32" s="32">
        <f t="shared" si="76"/>
        <v>1.0324850592203836</v>
      </c>
      <c r="Q32" s="32">
        <f t="shared" si="76"/>
        <v>1.0442060003163287</v>
      </c>
      <c r="R32" s="32">
        <f t="shared" si="76"/>
        <v>1.0577301631193425</v>
      </c>
      <c r="S32" s="32">
        <f t="shared" si="76"/>
        <v>1.0730575476294246</v>
      </c>
      <c r="T32" s="32">
        <f t="shared" si="76"/>
        <v>1.0901881538465754</v>
      </c>
      <c r="U32" s="32">
        <f t="shared" si="76"/>
        <v>1.1091219817707945</v>
      </c>
      <c r="V32" s="32">
        <f t="shared" si="76"/>
        <v>1.1298590314020822</v>
      </c>
      <c r="W32" s="32">
        <f t="shared" si="76"/>
        <v>1.1523993027404384</v>
      </c>
      <c r="X32" s="32">
        <f t="shared" si="76"/>
        <v>1.1767427957858629</v>
      </c>
      <c r="Y32" s="32">
        <f t="shared" si="76"/>
        <v>1.2028895105383561</v>
      </c>
      <c r="Z32" s="32">
        <f t="shared" si="76"/>
        <v>1.2308394469979178</v>
      </c>
      <c r="AA32" s="32">
        <f t="shared" si="76"/>
        <v>1.260592605164548</v>
      </c>
      <c r="AB32" s="32">
        <f t="shared" si="76"/>
        <v>1.2921489850382466</v>
      </c>
      <c r="AC32" s="32">
        <f t="shared" si="76"/>
        <v>1.3255085866190137</v>
      </c>
      <c r="AD32" s="32">
        <f t="shared" si="76"/>
        <v>1.3606714099068493</v>
      </c>
      <c r="AE32" s="32">
        <f t="shared" si="76"/>
        <v>1.3976374549017534</v>
      </c>
      <c r="AF32" s="32">
        <f t="shared" si="76"/>
        <v>1.436406721603726</v>
      </c>
      <c r="AG32" s="32">
        <f t="shared" si="76"/>
        <v>1.476979210012767</v>
      </c>
      <c r="AH32" s="32">
        <f t="shared" si="76"/>
        <v>1.5193549201288767</v>
      </c>
      <c r="AI32" s="32">
        <f t="shared" si="76"/>
        <v>1.5635338519520547</v>
      </c>
      <c r="AJ32" s="32">
        <f t="shared" si="76"/>
        <v>1.6095160054823012</v>
      </c>
      <c r="AK32" s="32">
        <f t="shared" si="76"/>
        <v>1.6573013807196164</v>
      </c>
      <c r="AL32" s="32">
        <f t="shared" si="76"/>
        <v>1.7068899776640001</v>
      </c>
      <c r="AM32" s="32">
        <f t="shared" si="76"/>
        <v>1.758281796315452</v>
      </c>
      <c r="AN32" s="32">
        <f t="shared" si="76"/>
        <v>1.8114768366739724</v>
      </c>
      <c r="AO32" s="32">
        <f t="shared" si="76"/>
        <v>1.8664750987395615</v>
      </c>
      <c r="AP32" s="32">
        <f t="shared" si="76"/>
        <v>1.9232765825122191</v>
      </c>
      <c r="AQ32" s="32">
        <f t="shared" si="76"/>
        <v>1.9818812879919452</v>
      </c>
      <c r="AR32" s="32">
        <f t="shared" si="76"/>
        <v>2.0422892151787395</v>
      </c>
      <c r="AS32" s="32">
        <f t="shared" si="76"/>
        <v>2.1045003640726025</v>
      </c>
      <c r="AT32" s="32">
        <f t="shared" si="76"/>
        <v>2.1685147346735341</v>
      </c>
      <c r="AU32" s="32">
        <f t="shared" si="76"/>
        <v>2.2343323269815341</v>
      </c>
      <c r="AV32" s="32">
        <f t="shared" si="76"/>
        <v>2.3019531409966025</v>
      </c>
      <c r="AW32" s="32">
        <f t="shared" si="76"/>
        <v>2.3713771767187395</v>
      </c>
      <c r="AX32" s="32">
        <f t="shared" si="76"/>
        <v>2.4426044341479449</v>
      </c>
      <c r="AY32" s="32">
        <f t="shared" si="76"/>
        <v>2.5156349132842188</v>
      </c>
      <c r="AZ32" s="32">
        <f t="shared" si="76"/>
        <v>2.5904686141275612</v>
      </c>
      <c r="BA32" s="32">
        <f t="shared" si="76"/>
        <v>2.6671055366779721</v>
      </c>
      <c r="BB32" s="32">
        <f t="shared" si="76"/>
        <v>2.7455456809354515</v>
      </c>
      <c r="BC32" s="32">
        <f t="shared" si="76"/>
        <v>2.8257890468999993</v>
      </c>
      <c r="BD32" s="32">
        <f t="shared" si="76"/>
        <v>2.9078356345716161</v>
      </c>
      <c r="BE32" s="32">
        <f t="shared" si="76"/>
        <v>2.9916854439503009</v>
      </c>
      <c r="BF32" s="32">
        <f t="shared" si="76"/>
        <v>3.0773384750360546</v>
      </c>
      <c r="BG32" s="32">
        <f t="shared" si="76"/>
        <v>3.1647947278288764</v>
      </c>
    </row>
    <row r="33" spans="1:60" x14ac:dyDescent="0.25">
      <c r="H33" s="1"/>
      <c r="I33" s="1" t="s">
        <v>3</v>
      </c>
      <c r="J33" s="16"/>
      <c r="K33" s="7">
        <f>-$B$32*K$17*K$17</f>
        <v>-4.5080542676712325E-4</v>
      </c>
      <c r="L33" s="32">
        <f t="shared" ref="L33:BG33" si="77">-$B$32*L$17*L$17</f>
        <v>-1.803221707068493E-3</v>
      </c>
      <c r="M33" s="32">
        <f t="shared" si="77"/>
        <v>-4.0572488409041096E-3</v>
      </c>
      <c r="N33" s="32">
        <f t="shared" si="77"/>
        <v>-7.2128868282739719E-3</v>
      </c>
      <c r="O33" s="32">
        <f t="shared" si="77"/>
        <v>-1.1270135669178082E-2</v>
      </c>
      <c r="P33" s="32">
        <f t="shared" si="77"/>
        <v>-1.6228995363616439E-2</v>
      </c>
      <c r="Q33" s="32">
        <f t="shared" si="77"/>
        <v>-2.2089465911589039E-2</v>
      </c>
      <c r="R33" s="32">
        <f t="shared" si="77"/>
        <v>-2.8851547313095888E-2</v>
      </c>
      <c r="S33" s="32">
        <f t="shared" si="77"/>
        <v>-3.6515239568136987E-2</v>
      </c>
      <c r="T33" s="32">
        <f t="shared" si="77"/>
        <v>-4.5080542676712326E-2</v>
      </c>
      <c r="U33" s="32">
        <f t="shared" si="77"/>
        <v>-5.4547456638821906E-2</v>
      </c>
      <c r="V33" s="32">
        <f t="shared" si="77"/>
        <v>-6.4915981454465754E-2</v>
      </c>
      <c r="W33" s="32">
        <f t="shared" si="77"/>
        <v>-7.6186117123643829E-2</v>
      </c>
      <c r="X33" s="32">
        <f t="shared" si="77"/>
        <v>-8.8357863646356158E-2</v>
      </c>
      <c r="Y33" s="32">
        <f t="shared" si="77"/>
        <v>-0.10143122102260273</v>
      </c>
      <c r="Z33" s="32">
        <f t="shared" si="77"/>
        <v>-0.11540618925238355</v>
      </c>
      <c r="AA33" s="32">
        <f t="shared" si="77"/>
        <v>-0.13028276833569863</v>
      </c>
      <c r="AB33" s="32">
        <f t="shared" si="77"/>
        <v>-0.14606095827254795</v>
      </c>
      <c r="AC33" s="32">
        <f t="shared" si="77"/>
        <v>-0.16274075906293148</v>
      </c>
      <c r="AD33" s="32">
        <f t="shared" si="77"/>
        <v>-0.18032217070684931</v>
      </c>
      <c r="AE33" s="32">
        <f t="shared" si="77"/>
        <v>-0.19880519320430137</v>
      </c>
      <c r="AF33" s="32">
        <f t="shared" si="77"/>
        <v>-0.21818982655528762</v>
      </c>
      <c r="AG33" s="32">
        <f t="shared" si="77"/>
        <v>-0.2384760707598082</v>
      </c>
      <c r="AH33" s="32">
        <f t="shared" si="77"/>
        <v>-0.25966392581786302</v>
      </c>
      <c r="AI33" s="32">
        <f t="shared" si="77"/>
        <v>-0.28175339172945202</v>
      </c>
      <c r="AJ33" s="32">
        <f t="shared" si="77"/>
        <v>-0.30474446849457532</v>
      </c>
      <c r="AK33" s="32">
        <f t="shared" si="77"/>
        <v>-0.32863715611323285</v>
      </c>
      <c r="AL33" s="32">
        <f t="shared" si="77"/>
        <v>-0.35343145458542463</v>
      </c>
      <c r="AM33" s="32">
        <f t="shared" si="77"/>
        <v>-0.37912736391115065</v>
      </c>
      <c r="AN33" s="32">
        <f t="shared" si="77"/>
        <v>-0.40572488409041091</v>
      </c>
      <c r="AO33" s="32">
        <f t="shared" si="77"/>
        <v>-0.43322401512320541</v>
      </c>
      <c r="AP33" s="32">
        <f t="shared" si="77"/>
        <v>-0.4616247570095342</v>
      </c>
      <c r="AQ33" s="32">
        <f t="shared" si="77"/>
        <v>-0.49092710974939724</v>
      </c>
      <c r="AR33" s="32">
        <f t="shared" si="77"/>
        <v>-0.52113107334279452</v>
      </c>
      <c r="AS33" s="32">
        <f t="shared" si="77"/>
        <v>-0.55223664778972603</v>
      </c>
      <c r="AT33" s="32">
        <f t="shared" si="77"/>
        <v>-0.58424383309019179</v>
      </c>
      <c r="AU33" s="32">
        <f t="shared" si="77"/>
        <v>-0.61715262924419168</v>
      </c>
      <c r="AV33" s="32">
        <f t="shared" si="77"/>
        <v>-0.65096303625172591</v>
      </c>
      <c r="AW33" s="32">
        <f t="shared" si="77"/>
        <v>-0.68567505411279439</v>
      </c>
      <c r="AX33" s="32">
        <f t="shared" si="77"/>
        <v>-0.72128868282739722</v>
      </c>
      <c r="AY33" s="32">
        <f t="shared" si="77"/>
        <v>-0.75780392239553418</v>
      </c>
      <c r="AZ33" s="32">
        <f t="shared" si="77"/>
        <v>-0.79522077281720549</v>
      </c>
      <c r="BA33" s="32">
        <f t="shared" si="77"/>
        <v>-0.83353923409241093</v>
      </c>
      <c r="BB33" s="32">
        <f t="shared" si="77"/>
        <v>-0.8727593062211505</v>
      </c>
      <c r="BC33" s="32">
        <f t="shared" si="77"/>
        <v>-0.91288098920342453</v>
      </c>
      <c r="BD33" s="32">
        <f t="shared" si="77"/>
        <v>-0.9539042830392328</v>
      </c>
      <c r="BE33" s="32">
        <f t="shared" si="77"/>
        <v>-0.9958291877285752</v>
      </c>
      <c r="BF33" s="32">
        <f t="shared" si="77"/>
        <v>-1.0386557032714521</v>
      </c>
      <c r="BG33" s="32">
        <f t="shared" si="77"/>
        <v>-1.082383829667863</v>
      </c>
    </row>
    <row r="34" spans="1:60" x14ac:dyDescent="0.25">
      <c r="A34" s="1" t="s">
        <v>22</v>
      </c>
      <c r="B34" s="73">
        <v>45.45</v>
      </c>
      <c r="D34">
        <f>B34*5</f>
        <v>227.25</v>
      </c>
      <c r="J34" s="13"/>
      <c r="AD34" s="13"/>
    </row>
    <row r="35" spans="1:60" x14ac:dyDescent="0.25">
      <c r="A35" s="66" t="s">
        <v>23</v>
      </c>
      <c r="B35" s="55">
        <f ca="1">INDEX($J$19:$BH$19,MATCH(B34,$J$18:$BH$18,0))*IF(B16="Buy",1,-1)</f>
        <v>-4.866483763988497</v>
      </c>
      <c r="I35" s="1"/>
      <c r="J35" s="1">
        <v>1</v>
      </c>
      <c r="K35" s="1">
        <v>2</v>
      </c>
      <c r="L35" s="1">
        <v>3</v>
      </c>
      <c r="M35" s="1">
        <v>4</v>
      </c>
      <c r="N35" s="1">
        <v>5</v>
      </c>
      <c r="O35" s="1">
        <v>6</v>
      </c>
      <c r="P35" s="1">
        <v>7</v>
      </c>
      <c r="Q35" s="1">
        <v>8</v>
      </c>
      <c r="R35" s="1">
        <v>9</v>
      </c>
      <c r="S35" s="1">
        <v>10</v>
      </c>
      <c r="T35" s="1">
        <v>11</v>
      </c>
      <c r="U35" s="1">
        <v>12</v>
      </c>
      <c r="V35" s="1">
        <v>13</v>
      </c>
      <c r="W35" s="1">
        <v>14</v>
      </c>
      <c r="X35" s="1">
        <v>15</v>
      </c>
      <c r="Y35" s="1">
        <v>16</v>
      </c>
      <c r="Z35" s="1">
        <v>17</v>
      </c>
      <c r="AA35" s="1">
        <v>18</v>
      </c>
      <c r="AB35" s="1">
        <v>19</v>
      </c>
      <c r="AC35" s="1">
        <v>20</v>
      </c>
      <c r="AD35" s="1">
        <v>21</v>
      </c>
      <c r="AE35" s="26">
        <f>AD35+1</f>
        <v>22</v>
      </c>
      <c r="AF35" s="26">
        <f t="shared" ref="AF35:BH35" si="78">AE35+1</f>
        <v>23</v>
      </c>
      <c r="AG35" s="26">
        <f t="shared" si="78"/>
        <v>24</v>
      </c>
      <c r="AH35" s="26">
        <f t="shared" si="78"/>
        <v>25</v>
      </c>
      <c r="AI35" s="26">
        <f t="shared" si="78"/>
        <v>26</v>
      </c>
      <c r="AJ35" s="26">
        <f t="shared" si="78"/>
        <v>27</v>
      </c>
      <c r="AK35" s="26">
        <f t="shared" si="78"/>
        <v>28</v>
      </c>
      <c r="AL35" s="26">
        <f t="shared" si="78"/>
        <v>29</v>
      </c>
      <c r="AM35" s="26">
        <f t="shared" si="78"/>
        <v>30</v>
      </c>
      <c r="AN35" s="26">
        <f t="shared" si="78"/>
        <v>31</v>
      </c>
      <c r="AO35" s="26">
        <f t="shared" si="78"/>
        <v>32</v>
      </c>
      <c r="AP35" s="26">
        <f t="shared" si="78"/>
        <v>33</v>
      </c>
      <c r="AQ35" s="26">
        <f t="shared" si="78"/>
        <v>34</v>
      </c>
      <c r="AR35" s="26">
        <f t="shared" si="78"/>
        <v>35</v>
      </c>
      <c r="AS35" s="26">
        <f t="shared" si="78"/>
        <v>36</v>
      </c>
      <c r="AT35" s="26">
        <f t="shared" si="78"/>
        <v>37</v>
      </c>
      <c r="AU35" s="26">
        <f t="shared" si="78"/>
        <v>38</v>
      </c>
      <c r="AV35" s="26">
        <f t="shared" si="78"/>
        <v>39</v>
      </c>
      <c r="AW35" s="26">
        <f t="shared" si="78"/>
        <v>40</v>
      </c>
      <c r="AX35" s="26">
        <f t="shared" si="78"/>
        <v>41</v>
      </c>
      <c r="AY35" s="26">
        <f t="shared" si="78"/>
        <v>42</v>
      </c>
      <c r="AZ35" s="26">
        <f t="shared" si="78"/>
        <v>43</v>
      </c>
      <c r="BA35" s="26">
        <f t="shared" si="78"/>
        <v>44</v>
      </c>
      <c r="BB35" s="26">
        <f t="shared" si="78"/>
        <v>45</v>
      </c>
      <c r="BC35" s="26">
        <f t="shared" si="78"/>
        <v>46</v>
      </c>
      <c r="BD35" s="26">
        <f t="shared" si="78"/>
        <v>47</v>
      </c>
      <c r="BE35" s="26">
        <f t="shared" si="78"/>
        <v>48</v>
      </c>
      <c r="BF35" s="26">
        <f t="shared" si="78"/>
        <v>49</v>
      </c>
      <c r="BG35" s="26">
        <f t="shared" si="78"/>
        <v>50</v>
      </c>
      <c r="BH35" s="26">
        <f t="shared" si="78"/>
        <v>51</v>
      </c>
    </row>
    <row r="36" spans="1:60" x14ac:dyDescent="0.25">
      <c r="A36" s="66" t="s">
        <v>61</v>
      </c>
      <c r="B36" s="56">
        <f ca="1">B35*B41</f>
        <v>-4866.4837639884972</v>
      </c>
      <c r="C36" s="56" t="str">
        <f>C39</f>
        <v xml:space="preserve"> </v>
      </c>
      <c r="I36" s="1">
        <v>1</v>
      </c>
      <c r="J36" s="18">
        <f ca="1">IF(J$35/$I36=1,OFFSET($J$30,1,$I36),IF((J$35-1)/$I36=1,OFFSET($J$30,2,$I36),IF((J$35-2)/$I36=1,OFFSET($J$30,3,$I36),0)))</f>
        <v>-4.5080542676712325E-4</v>
      </c>
      <c r="K36" s="16">
        <f ca="1">IF(K$35/$I36=1,OFFSET($J$30,1,$I36),IF((K$35-1)/$I36=1,OFFSET($J$30,2,$I36),IF((K$35-2)/$I36=1,OFFSET($J$30,3,$I36),0)))</f>
        <v>1.0009286793466849</v>
      </c>
      <c r="L36" s="16">
        <f t="shared" ref="J36:S45" ca="1" si="79">IF(L$35/$I36=1,OFFSET($J$30,1,$I36),IF((L$35-1)/$I36=1,OFFSET($J$30,2,$I36),IF((L$35-2)/$I36=1,OFFSET($J$30,3,$I36),0)))</f>
        <v>-4.5080542676712325E-4</v>
      </c>
      <c r="M36" s="16">
        <f t="shared" ca="1" si="79"/>
        <v>0</v>
      </c>
      <c r="N36" s="16">
        <f t="shared" ca="1" si="79"/>
        <v>0</v>
      </c>
      <c r="O36" s="16">
        <f t="shared" ca="1" si="79"/>
        <v>0</v>
      </c>
      <c r="P36" s="16">
        <f t="shared" ca="1" si="79"/>
        <v>0</v>
      </c>
      <c r="Q36" s="16">
        <f t="shared" ca="1" si="79"/>
        <v>0</v>
      </c>
      <c r="R36" s="16">
        <f t="shared" ca="1" si="79"/>
        <v>0</v>
      </c>
      <c r="S36" s="16">
        <f t="shared" ca="1" si="79"/>
        <v>0</v>
      </c>
      <c r="T36" s="16">
        <f t="shared" ref="T36:AI45" ca="1" si="80">IF(T$35/$I36=1,OFFSET($J$30,1,$I36),IF((T$35-1)/$I36=1,OFFSET($J$30,2,$I36),IF((T$35-2)/$I36=1,OFFSET($J$30,3,$I36),0)))</f>
        <v>0</v>
      </c>
      <c r="U36" s="16">
        <f t="shared" ca="1" si="80"/>
        <v>0</v>
      </c>
      <c r="V36" s="16">
        <f t="shared" ca="1" si="80"/>
        <v>0</v>
      </c>
      <c r="W36" s="16">
        <f t="shared" ca="1" si="80"/>
        <v>0</v>
      </c>
      <c r="X36" s="16">
        <f t="shared" ca="1" si="80"/>
        <v>0</v>
      </c>
      <c r="Y36" s="16">
        <f t="shared" ca="1" si="80"/>
        <v>0</v>
      </c>
      <c r="Z36" s="16">
        <f t="shared" ca="1" si="80"/>
        <v>0</v>
      </c>
      <c r="AA36" s="16">
        <f t="shared" ca="1" si="80"/>
        <v>0</v>
      </c>
      <c r="AB36" s="16">
        <f t="shared" ca="1" si="80"/>
        <v>0</v>
      </c>
      <c r="AC36" s="16">
        <f ca="1">IF(AC$35/$I36=1,OFFSET($J$30,1,$I36),IF((AC$35-1)/$I36=1,OFFSET($J$30,2,$I36),IF((AC$35-2)/$I36=1,OFFSET($J$30,3,$I36),0)))</f>
        <v>0</v>
      </c>
      <c r="AD36" s="41">
        <f t="shared" ref="AD36:BG44" ca="1" si="81">IF(AD$35/$I36=1,OFFSET($J$30,1,$I36),IF((AD$35-1)/$I36=1,OFFSET($J$30,2,$I36),IF((AD$35-2)/$I36=1,OFFSET($J$30,3,$I36),0)))</f>
        <v>0</v>
      </c>
      <c r="AE36" s="41">
        <f t="shared" ca="1" si="81"/>
        <v>0</v>
      </c>
      <c r="AF36" s="41">
        <f t="shared" ca="1" si="81"/>
        <v>0</v>
      </c>
      <c r="AG36" s="41">
        <f t="shared" ca="1" si="81"/>
        <v>0</v>
      </c>
      <c r="AH36" s="41">
        <f t="shared" ca="1" si="81"/>
        <v>0</v>
      </c>
      <c r="AI36" s="41">
        <f t="shared" ca="1" si="81"/>
        <v>0</v>
      </c>
      <c r="AJ36" s="41">
        <f t="shared" ca="1" si="81"/>
        <v>0</v>
      </c>
      <c r="AK36" s="41">
        <f t="shared" ca="1" si="81"/>
        <v>0</v>
      </c>
      <c r="AL36" s="41">
        <f t="shared" ca="1" si="81"/>
        <v>0</v>
      </c>
      <c r="AM36" s="41">
        <f t="shared" ca="1" si="81"/>
        <v>0</v>
      </c>
      <c r="AN36" s="41">
        <f t="shared" ca="1" si="81"/>
        <v>0</v>
      </c>
      <c r="AO36" s="41">
        <f t="shared" ca="1" si="81"/>
        <v>0</v>
      </c>
      <c r="AP36" s="41">
        <f t="shared" ca="1" si="81"/>
        <v>0</v>
      </c>
      <c r="AQ36" s="41">
        <f t="shared" ca="1" si="81"/>
        <v>0</v>
      </c>
      <c r="AR36" s="41">
        <f t="shared" ca="1" si="81"/>
        <v>0</v>
      </c>
      <c r="AS36" s="41">
        <f t="shared" ca="1" si="81"/>
        <v>0</v>
      </c>
      <c r="AT36" s="41">
        <f t="shared" ca="1" si="81"/>
        <v>0</v>
      </c>
      <c r="AU36" s="41">
        <f t="shared" ca="1" si="81"/>
        <v>0</v>
      </c>
      <c r="AV36" s="41">
        <f t="shared" ca="1" si="81"/>
        <v>0</v>
      </c>
      <c r="AW36" s="41">
        <f t="shared" ca="1" si="81"/>
        <v>0</v>
      </c>
      <c r="AX36" s="41">
        <f t="shared" ca="1" si="81"/>
        <v>0</v>
      </c>
      <c r="AY36" s="41">
        <f t="shared" ca="1" si="81"/>
        <v>0</v>
      </c>
      <c r="AZ36" s="41">
        <f t="shared" ca="1" si="81"/>
        <v>0</v>
      </c>
      <c r="BA36" s="41">
        <f t="shared" ca="1" si="81"/>
        <v>0</v>
      </c>
      <c r="BB36" s="41">
        <f t="shared" ca="1" si="81"/>
        <v>0</v>
      </c>
      <c r="BC36" s="41">
        <f t="shared" ca="1" si="81"/>
        <v>0</v>
      </c>
      <c r="BD36" s="41">
        <f t="shared" ca="1" si="81"/>
        <v>0</v>
      </c>
      <c r="BE36" s="41">
        <f t="shared" ca="1" si="81"/>
        <v>0</v>
      </c>
      <c r="BF36" s="41">
        <f t="shared" ca="1" si="81"/>
        <v>0</v>
      </c>
      <c r="BG36" s="41">
        <f t="shared" ca="1" si="81"/>
        <v>0</v>
      </c>
      <c r="BH36" s="44">
        <f t="shared" ref="BH36:BH51" ca="1" si="82">IF(BH$35/$I36=1,OFFSET($J$30,1,$I36),IF((BH$35-1)/$I36=1,OFFSET($J$30,2,$I36),IF((BH$35-2)/$I36=1,OFFSET($J$30,3,$I36),0)))</f>
        <v>0</v>
      </c>
    </row>
    <row r="37" spans="1:60" x14ac:dyDescent="0.25">
      <c r="A37" s="63"/>
      <c r="B37" s="38"/>
      <c r="C37" s="38"/>
      <c r="H37" s="11"/>
      <c r="I37" s="1">
        <v>2</v>
      </c>
      <c r="J37" s="18">
        <f t="shared" ca="1" si="79"/>
        <v>0</v>
      </c>
      <c r="K37" s="16">
        <f t="shared" ca="1" si="79"/>
        <v>-1.803221707068493E-3</v>
      </c>
      <c r="L37" s="16">
        <f t="shared" ca="1" si="79"/>
        <v>1.0036335119072877</v>
      </c>
      <c r="M37" s="16">
        <f t="shared" ca="1" si="79"/>
        <v>-1.803221707068493E-3</v>
      </c>
      <c r="N37" s="16">
        <f t="shared" ca="1" si="79"/>
        <v>0</v>
      </c>
      <c r="O37" s="16">
        <f t="shared" ca="1" si="79"/>
        <v>0</v>
      </c>
      <c r="P37" s="16">
        <f t="shared" ca="1" si="79"/>
        <v>0</v>
      </c>
      <c r="Q37" s="16">
        <f t="shared" ca="1" si="79"/>
        <v>0</v>
      </c>
      <c r="R37" s="16">
        <f t="shared" ca="1" si="79"/>
        <v>0</v>
      </c>
      <c r="S37" s="16">
        <f t="shared" ca="1" si="79"/>
        <v>0</v>
      </c>
      <c r="T37" s="16">
        <f t="shared" ca="1" si="80"/>
        <v>0</v>
      </c>
      <c r="U37" s="16">
        <f t="shared" ca="1" si="80"/>
        <v>0</v>
      </c>
      <c r="V37" s="16">
        <f t="shared" ca="1" si="80"/>
        <v>0</v>
      </c>
      <c r="W37" s="16">
        <f t="shared" ca="1" si="80"/>
        <v>0</v>
      </c>
      <c r="X37" s="16">
        <f t="shared" ca="1" si="80"/>
        <v>0</v>
      </c>
      <c r="Y37" s="16">
        <f t="shared" ca="1" si="80"/>
        <v>0</v>
      </c>
      <c r="Z37" s="16">
        <f t="shared" ca="1" si="80"/>
        <v>0</v>
      </c>
      <c r="AA37" s="16">
        <f t="shared" ca="1" si="80"/>
        <v>0</v>
      </c>
      <c r="AB37" s="16">
        <f t="shared" ca="1" si="80"/>
        <v>0</v>
      </c>
      <c r="AC37" s="16">
        <f t="shared" ca="1" si="80"/>
        <v>0</v>
      </c>
      <c r="AD37" s="41">
        <f t="shared" ca="1" si="80"/>
        <v>0</v>
      </c>
      <c r="AE37" s="41">
        <f t="shared" ca="1" si="80"/>
        <v>0</v>
      </c>
      <c r="AF37" s="41">
        <f t="shared" ca="1" si="80"/>
        <v>0</v>
      </c>
      <c r="AG37" s="41">
        <f t="shared" ca="1" si="80"/>
        <v>0</v>
      </c>
      <c r="AH37" s="41">
        <f t="shared" ca="1" si="80"/>
        <v>0</v>
      </c>
      <c r="AI37" s="41">
        <f t="shared" ca="1" si="80"/>
        <v>0</v>
      </c>
      <c r="AJ37" s="41">
        <f t="shared" ca="1" si="81"/>
        <v>0</v>
      </c>
      <c r="AK37" s="41">
        <f t="shared" ca="1" si="81"/>
        <v>0</v>
      </c>
      <c r="AL37" s="41">
        <f t="shared" ca="1" si="81"/>
        <v>0</v>
      </c>
      <c r="AM37" s="41">
        <f t="shared" ca="1" si="81"/>
        <v>0</v>
      </c>
      <c r="AN37" s="41">
        <f t="shared" ca="1" si="81"/>
        <v>0</v>
      </c>
      <c r="AO37" s="41">
        <f t="shared" ca="1" si="81"/>
        <v>0</v>
      </c>
      <c r="AP37" s="41">
        <f t="shared" ca="1" si="81"/>
        <v>0</v>
      </c>
      <c r="AQ37" s="41">
        <f t="shared" ca="1" si="81"/>
        <v>0</v>
      </c>
      <c r="AR37" s="41">
        <f t="shared" ca="1" si="81"/>
        <v>0</v>
      </c>
      <c r="AS37" s="41">
        <f t="shared" ca="1" si="81"/>
        <v>0</v>
      </c>
      <c r="AT37" s="41">
        <f t="shared" ca="1" si="81"/>
        <v>0</v>
      </c>
      <c r="AU37" s="41">
        <f t="shared" ca="1" si="81"/>
        <v>0</v>
      </c>
      <c r="AV37" s="41">
        <f t="shared" ca="1" si="81"/>
        <v>0</v>
      </c>
      <c r="AW37" s="41">
        <f t="shared" ca="1" si="81"/>
        <v>0</v>
      </c>
      <c r="AX37" s="41">
        <f t="shared" ca="1" si="81"/>
        <v>0</v>
      </c>
      <c r="AY37" s="41">
        <f t="shared" ca="1" si="81"/>
        <v>0</v>
      </c>
      <c r="AZ37" s="41">
        <f t="shared" ca="1" si="81"/>
        <v>0</v>
      </c>
      <c r="BA37" s="41">
        <f t="shared" ca="1" si="81"/>
        <v>0</v>
      </c>
      <c r="BB37" s="41">
        <f t="shared" ca="1" si="81"/>
        <v>0</v>
      </c>
      <c r="BC37" s="41">
        <f t="shared" ca="1" si="81"/>
        <v>0</v>
      </c>
      <c r="BD37" s="41">
        <f t="shared" ca="1" si="81"/>
        <v>0</v>
      </c>
      <c r="BE37" s="41">
        <f t="shared" ca="1" si="81"/>
        <v>0</v>
      </c>
      <c r="BF37" s="41">
        <f t="shared" ca="1" si="81"/>
        <v>0</v>
      </c>
      <c r="BG37" s="41">
        <f t="shared" ca="1" si="81"/>
        <v>0</v>
      </c>
      <c r="BH37" s="44">
        <f t="shared" ca="1" si="82"/>
        <v>0</v>
      </c>
    </row>
    <row r="38" spans="1:60" x14ac:dyDescent="0.25">
      <c r="A38" s="65" t="s">
        <v>60</v>
      </c>
      <c r="B38" s="62">
        <f>trade!H24</f>
        <v>-4.9219999999999997</v>
      </c>
      <c r="C38" s="47"/>
      <c r="H38" s="11"/>
      <c r="I38" s="1">
        <v>3</v>
      </c>
      <c r="J38" s="18">
        <f t="shared" ca="1" si="79"/>
        <v>0</v>
      </c>
      <c r="K38" s="16">
        <f t="shared" ca="1" si="79"/>
        <v>0</v>
      </c>
      <c r="L38" s="16">
        <f t="shared" ca="1" si="79"/>
        <v>-4.0572488409041096E-3</v>
      </c>
      <c r="M38" s="16">
        <f t="shared" ca="1" si="79"/>
        <v>1.0081415661749589</v>
      </c>
      <c r="N38" s="16">
        <f t="shared" ca="1" si="79"/>
        <v>-4.0572488409041096E-3</v>
      </c>
      <c r="O38" s="16">
        <f t="shared" ca="1" si="79"/>
        <v>0</v>
      </c>
      <c r="P38" s="16">
        <f t="shared" ca="1" si="79"/>
        <v>0</v>
      </c>
      <c r="Q38" s="16">
        <f t="shared" ca="1" si="79"/>
        <v>0</v>
      </c>
      <c r="R38" s="16">
        <f t="shared" ca="1" si="79"/>
        <v>0</v>
      </c>
      <c r="S38" s="16">
        <f t="shared" ca="1" si="79"/>
        <v>0</v>
      </c>
      <c r="T38" s="16">
        <f t="shared" ca="1" si="80"/>
        <v>0</v>
      </c>
      <c r="U38" s="16">
        <f t="shared" ca="1" si="80"/>
        <v>0</v>
      </c>
      <c r="V38" s="16">
        <f t="shared" ca="1" si="80"/>
        <v>0</v>
      </c>
      <c r="W38" s="16">
        <f t="shared" ca="1" si="80"/>
        <v>0</v>
      </c>
      <c r="X38" s="16">
        <f t="shared" ca="1" si="80"/>
        <v>0</v>
      </c>
      <c r="Y38" s="16">
        <f t="shared" ca="1" si="80"/>
        <v>0</v>
      </c>
      <c r="Z38" s="16">
        <f t="shared" ca="1" si="80"/>
        <v>0</v>
      </c>
      <c r="AA38" s="16">
        <f t="shared" ca="1" si="80"/>
        <v>0</v>
      </c>
      <c r="AB38" s="16">
        <f t="shared" ca="1" si="80"/>
        <v>0</v>
      </c>
      <c r="AC38" s="16">
        <f t="shared" ca="1" si="80"/>
        <v>0</v>
      </c>
      <c r="AD38" s="41">
        <f t="shared" ca="1" si="81"/>
        <v>0</v>
      </c>
      <c r="AE38" s="41">
        <f t="shared" ca="1" si="81"/>
        <v>0</v>
      </c>
      <c r="AF38" s="41">
        <f t="shared" ca="1" si="81"/>
        <v>0</v>
      </c>
      <c r="AG38" s="41">
        <f t="shared" ca="1" si="81"/>
        <v>0</v>
      </c>
      <c r="AH38" s="41">
        <f t="shared" ca="1" si="81"/>
        <v>0</v>
      </c>
      <c r="AI38" s="41">
        <f t="shared" ca="1" si="81"/>
        <v>0</v>
      </c>
      <c r="AJ38" s="41">
        <f t="shared" ca="1" si="81"/>
        <v>0</v>
      </c>
      <c r="AK38" s="41">
        <f t="shared" ca="1" si="81"/>
        <v>0</v>
      </c>
      <c r="AL38" s="41">
        <f t="shared" ca="1" si="81"/>
        <v>0</v>
      </c>
      <c r="AM38" s="41">
        <f t="shared" ca="1" si="81"/>
        <v>0</v>
      </c>
      <c r="AN38" s="41">
        <f t="shared" ca="1" si="81"/>
        <v>0</v>
      </c>
      <c r="AO38" s="41">
        <f t="shared" ca="1" si="81"/>
        <v>0</v>
      </c>
      <c r="AP38" s="41">
        <f t="shared" ca="1" si="81"/>
        <v>0</v>
      </c>
      <c r="AQ38" s="41">
        <f t="shared" ca="1" si="81"/>
        <v>0</v>
      </c>
      <c r="AR38" s="41">
        <f t="shared" ca="1" si="81"/>
        <v>0</v>
      </c>
      <c r="AS38" s="41">
        <f t="shared" ca="1" si="81"/>
        <v>0</v>
      </c>
      <c r="AT38" s="41">
        <f t="shared" ca="1" si="81"/>
        <v>0</v>
      </c>
      <c r="AU38" s="41">
        <f t="shared" ca="1" si="81"/>
        <v>0</v>
      </c>
      <c r="AV38" s="41">
        <f t="shared" ca="1" si="81"/>
        <v>0</v>
      </c>
      <c r="AW38" s="41">
        <f t="shared" ca="1" si="81"/>
        <v>0</v>
      </c>
      <c r="AX38" s="41">
        <f t="shared" ca="1" si="81"/>
        <v>0</v>
      </c>
      <c r="AY38" s="41">
        <f t="shared" ca="1" si="81"/>
        <v>0</v>
      </c>
      <c r="AZ38" s="41">
        <f t="shared" ca="1" si="81"/>
        <v>0</v>
      </c>
      <c r="BA38" s="41">
        <f t="shared" ca="1" si="81"/>
        <v>0</v>
      </c>
      <c r="BB38" s="41">
        <f t="shared" ca="1" si="81"/>
        <v>0</v>
      </c>
      <c r="BC38" s="41">
        <f t="shared" ca="1" si="81"/>
        <v>0</v>
      </c>
      <c r="BD38" s="41">
        <f t="shared" ca="1" si="81"/>
        <v>0</v>
      </c>
      <c r="BE38" s="41">
        <f t="shared" ca="1" si="81"/>
        <v>0</v>
      </c>
      <c r="BF38" s="41">
        <f t="shared" ca="1" si="81"/>
        <v>0</v>
      </c>
      <c r="BG38" s="41">
        <f t="shared" ca="1" si="81"/>
        <v>0</v>
      </c>
      <c r="BH38" s="44">
        <f t="shared" ca="1" si="82"/>
        <v>0</v>
      </c>
    </row>
    <row r="39" spans="1:60" x14ac:dyDescent="0.25">
      <c r="A39" s="67" t="s">
        <v>61</v>
      </c>
      <c r="B39" s="57">
        <f>trade!I25</f>
        <v>-4922.03</v>
      </c>
      <c r="C39" s="58" t="str">
        <f>trade!C26</f>
        <v xml:space="preserve"> </v>
      </c>
      <c r="D39" s="53"/>
      <c r="E39" s="47"/>
      <c r="H39" s="11"/>
      <c r="I39" s="1">
        <v>4</v>
      </c>
      <c r="J39" s="18">
        <f t="shared" ca="1" si="79"/>
        <v>0</v>
      </c>
      <c r="K39" s="16">
        <f t="shared" ca="1" si="79"/>
        <v>0</v>
      </c>
      <c r="L39" s="16">
        <f t="shared" ca="1" si="79"/>
        <v>0</v>
      </c>
      <c r="M39" s="16">
        <f t="shared" ca="1" si="79"/>
        <v>-7.2128868282739719E-3</v>
      </c>
      <c r="N39" s="16">
        <f t="shared" ca="1" si="79"/>
        <v>1.0144528421496986</v>
      </c>
      <c r="O39" s="16">
        <f t="shared" ca="1" si="79"/>
        <v>-7.2128868282739719E-3</v>
      </c>
      <c r="P39" s="16">
        <f t="shared" ca="1" si="79"/>
        <v>0</v>
      </c>
      <c r="Q39" s="16">
        <f t="shared" ca="1" si="79"/>
        <v>0</v>
      </c>
      <c r="R39" s="16">
        <f t="shared" ca="1" si="79"/>
        <v>0</v>
      </c>
      <c r="S39" s="16">
        <f t="shared" ca="1" si="79"/>
        <v>0</v>
      </c>
      <c r="T39" s="16">
        <f t="shared" ca="1" si="80"/>
        <v>0</v>
      </c>
      <c r="U39" s="16">
        <f t="shared" ca="1" si="80"/>
        <v>0</v>
      </c>
      <c r="V39" s="16">
        <f t="shared" ca="1" si="80"/>
        <v>0</v>
      </c>
      <c r="W39" s="16">
        <f t="shared" ca="1" si="80"/>
        <v>0</v>
      </c>
      <c r="X39" s="16">
        <f t="shared" ca="1" si="80"/>
        <v>0</v>
      </c>
      <c r="Y39" s="16">
        <f t="shared" ca="1" si="80"/>
        <v>0</v>
      </c>
      <c r="Z39" s="16">
        <f t="shared" ca="1" si="80"/>
        <v>0</v>
      </c>
      <c r="AA39" s="16">
        <f t="shared" ca="1" si="80"/>
        <v>0</v>
      </c>
      <c r="AB39" s="16">
        <f t="shared" ca="1" si="80"/>
        <v>0</v>
      </c>
      <c r="AC39" s="16">
        <f t="shared" ca="1" si="80"/>
        <v>0</v>
      </c>
      <c r="AD39" s="41">
        <f t="shared" ca="1" si="81"/>
        <v>0</v>
      </c>
      <c r="AE39" s="41">
        <f t="shared" ca="1" si="81"/>
        <v>0</v>
      </c>
      <c r="AF39" s="41">
        <f t="shared" ca="1" si="81"/>
        <v>0</v>
      </c>
      <c r="AG39" s="41">
        <f t="shared" ca="1" si="81"/>
        <v>0</v>
      </c>
      <c r="AH39" s="41">
        <f t="shared" ca="1" si="81"/>
        <v>0</v>
      </c>
      <c r="AI39" s="41">
        <f t="shared" ca="1" si="81"/>
        <v>0</v>
      </c>
      <c r="AJ39" s="41">
        <f t="shared" ca="1" si="81"/>
        <v>0</v>
      </c>
      <c r="AK39" s="41">
        <f t="shared" ca="1" si="81"/>
        <v>0</v>
      </c>
      <c r="AL39" s="41">
        <f t="shared" ca="1" si="81"/>
        <v>0</v>
      </c>
      <c r="AM39" s="41">
        <f t="shared" ca="1" si="81"/>
        <v>0</v>
      </c>
      <c r="AN39" s="41">
        <f t="shared" ca="1" si="81"/>
        <v>0</v>
      </c>
      <c r="AO39" s="41">
        <f t="shared" ca="1" si="81"/>
        <v>0</v>
      </c>
      <c r="AP39" s="41">
        <f t="shared" ca="1" si="81"/>
        <v>0</v>
      </c>
      <c r="AQ39" s="41">
        <f t="shared" ca="1" si="81"/>
        <v>0</v>
      </c>
      <c r="AR39" s="41">
        <f t="shared" ca="1" si="81"/>
        <v>0</v>
      </c>
      <c r="AS39" s="41">
        <f t="shared" ca="1" si="81"/>
        <v>0</v>
      </c>
      <c r="AT39" s="41">
        <f t="shared" ca="1" si="81"/>
        <v>0</v>
      </c>
      <c r="AU39" s="41">
        <f t="shared" ca="1" si="81"/>
        <v>0</v>
      </c>
      <c r="AV39" s="41">
        <f t="shared" ca="1" si="81"/>
        <v>0</v>
      </c>
      <c r="AW39" s="41">
        <f t="shared" ca="1" si="81"/>
        <v>0</v>
      </c>
      <c r="AX39" s="41">
        <f t="shared" ca="1" si="81"/>
        <v>0</v>
      </c>
      <c r="AY39" s="41">
        <f t="shared" ca="1" si="81"/>
        <v>0</v>
      </c>
      <c r="AZ39" s="41">
        <f t="shared" ca="1" si="81"/>
        <v>0</v>
      </c>
      <c r="BA39" s="41">
        <f t="shared" ca="1" si="81"/>
        <v>0</v>
      </c>
      <c r="BB39" s="41">
        <f t="shared" ca="1" si="81"/>
        <v>0</v>
      </c>
      <c r="BC39" s="41">
        <f t="shared" ca="1" si="81"/>
        <v>0</v>
      </c>
      <c r="BD39" s="41">
        <f t="shared" ca="1" si="81"/>
        <v>0</v>
      </c>
      <c r="BE39" s="41">
        <f t="shared" ca="1" si="81"/>
        <v>0</v>
      </c>
      <c r="BF39" s="41">
        <f t="shared" ca="1" si="81"/>
        <v>0</v>
      </c>
      <c r="BG39" s="41">
        <f t="shared" ca="1" si="81"/>
        <v>0</v>
      </c>
      <c r="BH39" s="44">
        <f t="shared" ca="1" si="82"/>
        <v>0</v>
      </c>
    </row>
    <row r="40" spans="1:60" x14ac:dyDescent="0.25">
      <c r="A40" s="63"/>
      <c r="B40" s="47"/>
      <c r="C40" s="38"/>
      <c r="D40" s="22"/>
      <c r="E40" s="38"/>
      <c r="H40" s="11"/>
      <c r="I40" s="1">
        <v>5</v>
      </c>
      <c r="J40" s="18">
        <f t="shared" ca="1" si="79"/>
        <v>0</v>
      </c>
      <c r="K40" s="16">
        <f t="shared" ca="1" si="79"/>
        <v>0</v>
      </c>
      <c r="L40" s="16">
        <f t="shared" ca="1" si="79"/>
        <v>0</v>
      </c>
      <c r="M40" s="16">
        <f t="shared" ca="1" si="79"/>
        <v>0</v>
      </c>
      <c r="N40" s="16">
        <f t="shared" ca="1" si="79"/>
        <v>-1.1270135669178082E-2</v>
      </c>
      <c r="O40" s="16">
        <f t="shared" ca="1" si="79"/>
        <v>1.0225673398315069</v>
      </c>
      <c r="P40" s="16">
        <f t="shared" ca="1" si="79"/>
        <v>-1.1270135669178082E-2</v>
      </c>
      <c r="Q40" s="16">
        <f t="shared" ca="1" si="79"/>
        <v>0</v>
      </c>
      <c r="R40" s="16">
        <f t="shared" ca="1" si="79"/>
        <v>0</v>
      </c>
      <c r="S40" s="16">
        <f t="shared" ca="1" si="79"/>
        <v>0</v>
      </c>
      <c r="T40" s="16">
        <f t="shared" ca="1" si="80"/>
        <v>0</v>
      </c>
      <c r="U40" s="16">
        <f t="shared" ca="1" si="80"/>
        <v>0</v>
      </c>
      <c r="V40" s="16">
        <f t="shared" ca="1" si="80"/>
        <v>0</v>
      </c>
      <c r="W40" s="16">
        <f t="shared" ca="1" si="80"/>
        <v>0</v>
      </c>
      <c r="X40" s="16">
        <f t="shared" ca="1" si="80"/>
        <v>0</v>
      </c>
      <c r="Y40" s="16">
        <f t="shared" ca="1" si="80"/>
        <v>0</v>
      </c>
      <c r="Z40" s="16">
        <f t="shared" ca="1" si="80"/>
        <v>0</v>
      </c>
      <c r="AA40" s="16">
        <f t="shared" ca="1" si="80"/>
        <v>0</v>
      </c>
      <c r="AB40" s="16">
        <f t="shared" ca="1" si="80"/>
        <v>0</v>
      </c>
      <c r="AC40" s="16">
        <f t="shared" ca="1" si="80"/>
        <v>0</v>
      </c>
      <c r="AD40" s="41">
        <f t="shared" ca="1" si="81"/>
        <v>0</v>
      </c>
      <c r="AE40" s="41">
        <f t="shared" ca="1" si="81"/>
        <v>0</v>
      </c>
      <c r="AF40" s="41">
        <f t="shared" ca="1" si="81"/>
        <v>0</v>
      </c>
      <c r="AG40" s="41">
        <f t="shared" ca="1" si="81"/>
        <v>0</v>
      </c>
      <c r="AH40" s="41">
        <f t="shared" ca="1" si="81"/>
        <v>0</v>
      </c>
      <c r="AI40" s="41">
        <f t="shared" ca="1" si="81"/>
        <v>0</v>
      </c>
      <c r="AJ40" s="41">
        <f t="shared" ca="1" si="81"/>
        <v>0</v>
      </c>
      <c r="AK40" s="41">
        <f t="shared" ca="1" si="81"/>
        <v>0</v>
      </c>
      <c r="AL40" s="41">
        <f t="shared" ca="1" si="81"/>
        <v>0</v>
      </c>
      <c r="AM40" s="41">
        <f t="shared" ca="1" si="81"/>
        <v>0</v>
      </c>
      <c r="AN40" s="41">
        <f t="shared" ca="1" si="81"/>
        <v>0</v>
      </c>
      <c r="AO40" s="41">
        <f t="shared" ca="1" si="81"/>
        <v>0</v>
      </c>
      <c r="AP40" s="41">
        <f t="shared" ca="1" si="81"/>
        <v>0</v>
      </c>
      <c r="AQ40" s="41">
        <f t="shared" ca="1" si="81"/>
        <v>0</v>
      </c>
      <c r="AR40" s="41">
        <f t="shared" ca="1" si="81"/>
        <v>0</v>
      </c>
      <c r="AS40" s="41">
        <f t="shared" ca="1" si="81"/>
        <v>0</v>
      </c>
      <c r="AT40" s="41">
        <f t="shared" ca="1" si="81"/>
        <v>0</v>
      </c>
      <c r="AU40" s="41">
        <f t="shared" ca="1" si="81"/>
        <v>0</v>
      </c>
      <c r="AV40" s="41">
        <f t="shared" ca="1" si="81"/>
        <v>0</v>
      </c>
      <c r="AW40" s="41">
        <f t="shared" ca="1" si="81"/>
        <v>0</v>
      </c>
      <c r="AX40" s="41">
        <f t="shared" ca="1" si="81"/>
        <v>0</v>
      </c>
      <c r="AY40" s="41">
        <f t="shared" ca="1" si="81"/>
        <v>0</v>
      </c>
      <c r="AZ40" s="41">
        <f t="shared" ca="1" si="81"/>
        <v>0</v>
      </c>
      <c r="BA40" s="41">
        <f t="shared" ca="1" si="81"/>
        <v>0</v>
      </c>
      <c r="BB40" s="41">
        <f t="shared" ca="1" si="81"/>
        <v>0</v>
      </c>
      <c r="BC40" s="41">
        <f t="shared" ca="1" si="81"/>
        <v>0</v>
      </c>
      <c r="BD40" s="41">
        <f t="shared" ca="1" si="81"/>
        <v>0</v>
      </c>
      <c r="BE40" s="41">
        <f t="shared" ca="1" si="81"/>
        <v>0</v>
      </c>
      <c r="BF40" s="41">
        <f t="shared" ca="1" si="81"/>
        <v>0</v>
      </c>
      <c r="BG40" s="41">
        <f t="shared" ca="1" si="81"/>
        <v>0</v>
      </c>
      <c r="BH40" s="44">
        <f t="shared" ca="1" si="82"/>
        <v>0</v>
      </c>
    </row>
    <row r="41" spans="1:60" x14ac:dyDescent="0.25">
      <c r="A41" s="65" t="str">
        <f>trade!E20</f>
        <v>Unit barrel</v>
      </c>
      <c r="B41" s="59">
        <f>trade!H20</f>
        <v>1000</v>
      </c>
      <c r="C41" s="38"/>
      <c r="H41" s="11"/>
      <c r="I41" s="1">
        <v>6</v>
      </c>
      <c r="J41" s="18">
        <f t="shared" ca="1" si="79"/>
        <v>0</v>
      </c>
      <c r="K41" s="16">
        <f t="shared" ca="1" si="79"/>
        <v>0</v>
      </c>
      <c r="L41" s="16">
        <f t="shared" ca="1" si="79"/>
        <v>0</v>
      </c>
      <c r="M41" s="16">
        <f t="shared" ca="1" si="79"/>
        <v>0</v>
      </c>
      <c r="N41" s="16">
        <f t="shared" ca="1" si="79"/>
        <v>0</v>
      </c>
      <c r="O41" s="16">
        <f t="shared" ca="1" si="79"/>
        <v>-1.6228995363616439E-2</v>
      </c>
      <c r="P41" s="16">
        <f t="shared" ca="1" si="79"/>
        <v>1.0324850592203836</v>
      </c>
      <c r="Q41" s="16">
        <f t="shared" ca="1" si="79"/>
        <v>-1.6228995363616439E-2</v>
      </c>
      <c r="R41" s="16">
        <f t="shared" ca="1" si="79"/>
        <v>0</v>
      </c>
      <c r="S41" s="16">
        <f t="shared" ca="1" si="79"/>
        <v>0</v>
      </c>
      <c r="T41" s="16">
        <f t="shared" ca="1" si="80"/>
        <v>0</v>
      </c>
      <c r="U41" s="16">
        <f t="shared" ca="1" si="80"/>
        <v>0</v>
      </c>
      <c r="V41" s="16">
        <f t="shared" ca="1" si="80"/>
        <v>0</v>
      </c>
      <c r="W41" s="16">
        <f t="shared" ca="1" si="80"/>
        <v>0</v>
      </c>
      <c r="X41" s="16">
        <f t="shared" ca="1" si="80"/>
        <v>0</v>
      </c>
      <c r="Y41" s="16">
        <f t="shared" ca="1" si="80"/>
        <v>0</v>
      </c>
      <c r="Z41" s="16">
        <f t="shared" ca="1" si="80"/>
        <v>0</v>
      </c>
      <c r="AA41" s="16">
        <f t="shared" ca="1" si="80"/>
        <v>0</v>
      </c>
      <c r="AB41" s="16">
        <f t="shared" ca="1" si="80"/>
        <v>0</v>
      </c>
      <c r="AC41" s="16">
        <f t="shared" ca="1" si="80"/>
        <v>0</v>
      </c>
      <c r="AD41" s="41">
        <f t="shared" ca="1" si="81"/>
        <v>0</v>
      </c>
      <c r="AE41" s="41">
        <f t="shared" ca="1" si="81"/>
        <v>0</v>
      </c>
      <c r="AF41" s="41">
        <f t="shared" ca="1" si="81"/>
        <v>0</v>
      </c>
      <c r="AG41" s="41">
        <f t="shared" ca="1" si="81"/>
        <v>0</v>
      </c>
      <c r="AH41" s="41">
        <f t="shared" ca="1" si="81"/>
        <v>0</v>
      </c>
      <c r="AI41" s="41">
        <f t="shared" ca="1" si="81"/>
        <v>0</v>
      </c>
      <c r="AJ41" s="41">
        <f t="shared" ca="1" si="81"/>
        <v>0</v>
      </c>
      <c r="AK41" s="41">
        <f t="shared" ca="1" si="81"/>
        <v>0</v>
      </c>
      <c r="AL41" s="41">
        <f t="shared" ca="1" si="81"/>
        <v>0</v>
      </c>
      <c r="AM41" s="41">
        <f t="shared" ca="1" si="81"/>
        <v>0</v>
      </c>
      <c r="AN41" s="41">
        <f t="shared" ca="1" si="81"/>
        <v>0</v>
      </c>
      <c r="AO41" s="41">
        <f t="shared" ca="1" si="81"/>
        <v>0</v>
      </c>
      <c r="AP41" s="41">
        <f t="shared" ca="1" si="81"/>
        <v>0</v>
      </c>
      <c r="AQ41" s="41">
        <f t="shared" ca="1" si="81"/>
        <v>0</v>
      </c>
      <c r="AR41" s="41">
        <f t="shared" ca="1" si="81"/>
        <v>0</v>
      </c>
      <c r="AS41" s="41">
        <f t="shared" ca="1" si="81"/>
        <v>0</v>
      </c>
      <c r="AT41" s="41">
        <f t="shared" ca="1" si="81"/>
        <v>0</v>
      </c>
      <c r="AU41" s="41">
        <f t="shared" ca="1" si="81"/>
        <v>0</v>
      </c>
      <c r="AV41" s="41">
        <f t="shared" ca="1" si="81"/>
        <v>0</v>
      </c>
      <c r="AW41" s="41">
        <f t="shared" ca="1" si="81"/>
        <v>0</v>
      </c>
      <c r="AX41" s="41">
        <f t="shared" ca="1" si="81"/>
        <v>0</v>
      </c>
      <c r="AY41" s="41">
        <f t="shared" ca="1" si="81"/>
        <v>0</v>
      </c>
      <c r="AZ41" s="41">
        <f t="shared" ca="1" si="81"/>
        <v>0</v>
      </c>
      <c r="BA41" s="41">
        <f t="shared" ca="1" si="81"/>
        <v>0</v>
      </c>
      <c r="BB41" s="41">
        <f t="shared" ca="1" si="81"/>
        <v>0</v>
      </c>
      <c r="BC41" s="41">
        <f t="shared" ca="1" si="81"/>
        <v>0</v>
      </c>
      <c r="BD41" s="41">
        <f t="shared" ca="1" si="81"/>
        <v>0</v>
      </c>
      <c r="BE41" s="41">
        <f t="shared" ca="1" si="81"/>
        <v>0</v>
      </c>
      <c r="BF41" s="41">
        <f t="shared" ca="1" si="81"/>
        <v>0</v>
      </c>
      <c r="BG41" s="41">
        <f t="shared" ca="1" si="81"/>
        <v>0</v>
      </c>
      <c r="BH41" s="44">
        <f t="shared" ca="1" si="82"/>
        <v>0</v>
      </c>
    </row>
    <row r="42" spans="1:60" x14ac:dyDescent="0.25">
      <c r="A42" s="63"/>
      <c r="H42" s="11"/>
      <c r="I42" s="1">
        <v>7</v>
      </c>
      <c r="J42" s="18">
        <f t="shared" ca="1" si="79"/>
        <v>0</v>
      </c>
      <c r="K42" s="16">
        <f t="shared" ca="1" si="79"/>
        <v>0</v>
      </c>
      <c r="L42" s="16">
        <f t="shared" ca="1" si="79"/>
        <v>0</v>
      </c>
      <c r="M42" s="16">
        <f t="shared" ca="1" si="79"/>
        <v>0</v>
      </c>
      <c r="N42" s="16">
        <f t="shared" ca="1" si="79"/>
        <v>0</v>
      </c>
      <c r="O42" s="16">
        <f t="shared" ca="1" si="79"/>
        <v>0</v>
      </c>
      <c r="P42" s="16">
        <f t="shared" ca="1" si="79"/>
        <v>-2.2089465911589039E-2</v>
      </c>
      <c r="Q42" s="16">
        <f t="shared" ca="1" si="79"/>
        <v>1.0442060003163287</v>
      </c>
      <c r="R42" s="16">
        <f t="shared" ca="1" si="79"/>
        <v>-2.2089465911589039E-2</v>
      </c>
      <c r="S42" s="16">
        <f t="shared" ca="1" si="79"/>
        <v>0</v>
      </c>
      <c r="T42" s="16">
        <f t="shared" ca="1" si="80"/>
        <v>0</v>
      </c>
      <c r="U42" s="16">
        <f t="shared" ca="1" si="80"/>
        <v>0</v>
      </c>
      <c r="V42" s="16">
        <f t="shared" ca="1" si="80"/>
        <v>0</v>
      </c>
      <c r="W42" s="16">
        <f t="shared" ca="1" si="80"/>
        <v>0</v>
      </c>
      <c r="X42" s="16">
        <f t="shared" ca="1" si="80"/>
        <v>0</v>
      </c>
      <c r="Y42" s="16">
        <f t="shared" ca="1" si="80"/>
        <v>0</v>
      </c>
      <c r="Z42" s="16">
        <f t="shared" ca="1" si="80"/>
        <v>0</v>
      </c>
      <c r="AA42" s="16">
        <f t="shared" ca="1" si="80"/>
        <v>0</v>
      </c>
      <c r="AB42" s="16">
        <f t="shared" ca="1" si="80"/>
        <v>0</v>
      </c>
      <c r="AC42" s="16">
        <f t="shared" ca="1" si="80"/>
        <v>0</v>
      </c>
      <c r="AD42" s="41">
        <f t="shared" ca="1" si="81"/>
        <v>0</v>
      </c>
      <c r="AE42" s="41">
        <f t="shared" ca="1" si="81"/>
        <v>0</v>
      </c>
      <c r="AF42" s="41">
        <f t="shared" ca="1" si="81"/>
        <v>0</v>
      </c>
      <c r="AG42" s="41">
        <f t="shared" ca="1" si="81"/>
        <v>0</v>
      </c>
      <c r="AH42" s="41">
        <f t="shared" ca="1" si="81"/>
        <v>0</v>
      </c>
      <c r="AI42" s="41">
        <f t="shared" ca="1" si="81"/>
        <v>0</v>
      </c>
      <c r="AJ42" s="41">
        <f t="shared" ca="1" si="81"/>
        <v>0</v>
      </c>
      <c r="AK42" s="41">
        <f t="shared" ca="1" si="81"/>
        <v>0</v>
      </c>
      <c r="AL42" s="41">
        <f t="shared" ca="1" si="81"/>
        <v>0</v>
      </c>
      <c r="AM42" s="41">
        <f t="shared" ca="1" si="81"/>
        <v>0</v>
      </c>
      <c r="AN42" s="41">
        <f t="shared" ca="1" si="81"/>
        <v>0</v>
      </c>
      <c r="AO42" s="41">
        <f t="shared" ca="1" si="81"/>
        <v>0</v>
      </c>
      <c r="AP42" s="41">
        <f t="shared" ca="1" si="81"/>
        <v>0</v>
      </c>
      <c r="AQ42" s="41">
        <f t="shared" ca="1" si="81"/>
        <v>0</v>
      </c>
      <c r="AR42" s="41">
        <f t="shared" ca="1" si="81"/>
        <v>0</v>
      </c>
      <c r="AS42" s="41">
        <f t="shared" ca="1" si="81"/>
        <v>0</v>
      </c>
      <c r="AT42" s="41">
        <f t="shared" ca="1" si="81"/>
        <v>0</v>
      </c>
      <c r="AU42" s="41">
        <f t="shared" ca="1" si="81"/>
        <v>0</v>
      </c>
      <c r="AV42" s="41">
        <f t="shared" ca="1" si="81"/>
        <v>0</v>
      </c>
      <c r="AW42" s="41">
        <f t="shared" ca="1" si="81"/>
        <v>0</v>
      </c>
      <c r="AX42" s="41">
        <f t="shared" ca="1" si="81"/>
        <v>0</v>
      </c>
      <c r="AY42" s="41">
        <f t="shared" ca="1" si="81"/>
        <v>0</v>
      </c>
      <c r="AZ42" s="41">
        <f t="shared" ca="1" si="81"/>
        <v>0</v>
      </c>
      <c r="BA42" s="41">
        <f t="shared" ca="1" si="81"/>
        <v>0</v>
      </c>
      <c r="BB42" s="41">
        <f t="shared" ca="1" si="81"/>
        <v>0</v>
      </c>
      <c r="BC42" s="41">
        <f t="shared" ca="1" si="81"/>
        <v>0</v>
      </c>
      <c r="BD42" s="41">
        <f t="shared" ca="1" si="81"/>
        <v>0</v>
      </c>
      <c r="BE42" s="41">
        <f t="shared" ca="1" si="81"/>
        <v>0</v>
      </c>
      <c r="BF42" s="41">
        <f t="shared" ca="1" si="81"/>
        <v>0</v>
      </c>
      <c r="BG42" s="41">
        <f t="shared" ca="1" si="81"/>
        <v>0</v>
      </c>
      <c r="BH42" s="44">
        <f t="shared" ca="1" si="82"/>
        <v>0</v>
      </c>
    </row>
    <row r="43" spans="1:60" x14ac:dyDescent="0.25">
      <c r="A43" s="63"/>
      <c r="H43" s="11"/>
      <c r="I43" s="1">
        <v>8</v>
      </c>
      <c r="J43" s="18">
        <f t="shared" ca="1" si="79"/>
        <v>0</v>
      </c>
      <c r="K43" s="16">
        <f t="shared" ca="1" si="79"/>
        <v>0</v>
      </c>
      <c r="L43" s="16">
        <f t="shared" ca="1" si="79"/>
        <v>0</v>
      </c>
      <c r="M43" s="16">
        <f t="shared" ca="1" si="79"/>
        <v>0</v>
      </c>
      <c r="N43" s="16">
        <f t="shared" ca="1" si="79"/>
        <v>0</v>
      </c>
      <c r="O43" s="16">
        <f t="shared" ca="1" si="79"/>
        <v>0</v>
      </c>
      <c r="P43" s="16">
        <f t="shared" ca="1" si="79"/>
        <v>0</v>
      </c>
      <c r="Q43" s="16">
        <f t="shared" ca="1" si="79"/>
        <v>-2.8851547313095888E-2</v>
      </c>
      <c r="R43" s="16">
        <f t="shared" ca="1" si="79"/>
        <v>1.0577301631193425</v>
      </c>
      <c r="S43" s="16">
        <f t="shared" ca="1" si="79"/>
        <v>-2.8851547313095888E-2</v>
      </c>
      <c r="T43" s="16">
        <f t="shared" ca="1" si="80"/>
        <v>0</v>
      </c>
      <c r="U43" s="16">
        <f t="shared" ca="1" si="80"/>
        <v>0</v>
      </c>
      <c r="V43" s="16">
        <f t="shared" ca="1" si="80"/>
        <v>0</v>
      </c>
      <c r="W43" s="16">
        <f t="shared" ca="1" si="80"/>
        <v>0</v>
      </c>
      <c r="X43" s="16">
        <f t="shared" ca="1" si="80"/>
        <v>0</v>
      </c>
      <c r="Y43" s="16">
        <f t="shared" ca="1" si="80"/>
        <v>0</v>
      </c>
      <c r="Z43" s="16">
        <f t="shared" ca="1" si="80"/>
        <v>0</v>
      </c>
      <c r="AA43" s="16">
        <f t="shared" ca="1" si="80"/>
        <v>0</v>
      </c>
      <c r="AB43" s="16">
        <f t="shared" ca="1" si="80"/>
        <v>0</v>
      </c>
      <c r="AC43" s="16">
        <f t="shared" ca="1" si="80"/>
        <v>0</v>
      </c>
      <c r="AD43" s="41">
        <f t="shared" ca="1" si="81"/>
        <v>0</v>
      </c>
      <c r="AE43" s="41">
        <f t="shared" ca="1" si="81"/>
        <v>0</v>
      </c>
      <c r="AF43" s="41">
        <f t="shared" ca="1" si="81"/>
        <v>0</v>
      </c>
      <c r="AG43" s="41">
        <f t="shared" ca="1" si="81"/>
        <v>0</v>
      </c>
      <c r="AH43" s="41">
        <f t="shared" ca="1" si="81"/>
        <v>0</v>
      </c>
      <c r="AI43" s="41">
        <f t="shared" ca="1" si="81"/>
        <v>0</v>
      </c>
      <c r="AJ43" s="41">
        <f t="shared" ca="1" si="81"/>
        <v>0</v>
      </c>
      <c r="AK43" s="41">
        <f t="shared" ca="1" si="81"/>
        <v>0</v>
      </c>
      <c r="AL43" s="41">
        <f t="shared" ca="1" si="81"/>
        <v>0</v>
      </c>
      <c r="AM43" s="41">
        <f t="shared" ca="1" si="81"/>
        <v>0</v>
      </c>
      <c r="AN43" s="41">
        <f t="shared" ca="1" si="81"/>
        <v>0</v>
      </c>
      <c r="AO43" s="41">
        <f t="shared" ca="1" si="81"/>
        <v>0</v>
      </c>
      <c r="AP43" s="41">
        <f t="shared" ca="1" si="81"/>
        <v>0</v>
      </c>
      <c r="AQ43" s="41">
        <f t="shared" ca="1" si="81"/>
        <v>0</v>
      </c>
      <c r="AR43" s="41">
        <f t="shared" ca="1" si="81"/>
        <v>0</v>
      </c>
      <c r="AS43" s="41">
        <f t="shared" ca="1" si="81"/>
        <v>0</v>
      </c>
      <c r="AT43" s="41">
        <f t="shared" ca="1" si="81"/>
        <v>0</v>
      </c>
      <c r="AU43" s="41">
        <f t="shared" ca="1" si="81"/>
        <v>0</v>
      </c>
      <c r="AV43" s="41">
        <f t="shared" ca="1" si="81"/>
        <v>0</v>
      </c>
      <c r="AW43" s="41">
        <f t="shared" ca="1" si="81"/>
        <v>0</v>
      </c>
      <c r="AX43" s="41">
        <f t="shared" ca="1" si="81"/>
        <v>0</v>
      </c>
      <c r="AY43" s="41">
        <f t="shared" ca="1" si="81"/>
        <v>0</v>
      </c>
      <c r="AZ43" s="41">
        <f t="shared" ca="1" si="81"/>
        <v>0</v>
      </c>
      <c r="BA43" s="41">
        <f t="shared" ca="1" si="81"/>
        <v>0</v>
      </c>
      <c r="BB43" s="41">
        <f t="shared" ca="1" si="81"/>
        <v>0</v>
      </c>
      <c r="BC43" s="41">
        <f t="shared" ca="1" si="81"/>
        <v>0</v>
      </c>
      <c r="BD43" s="41">
        <f t="shared" ca="1" si="81"/>
        <v>0</v>
      </c>
      <c r="BE43" s="41">
        <f t="shared" ca="1" si="81"/>
        <v>0</v>
      </c>
      <c r="BF43" s="41">
        <f t="shared" ca="1" si="81"/>
        <v>0</v>
      </c>
      <c r="BG43" s="41">
        <f t="shared" ca="1" si="81"/>
        <v>0</v>
      </c>
      <c r="BH43" s="44">
        <f t="shared" ca="1" si="82"/>
        <v>0</v>
      </c>
    </row>
    <row r="44" spans="1:60" x14ac:dyDescent="0.25">
      <c r="A44" s="64" t="s">
        <v>66</v>
      </c>
      <c r="B44" s="60">
        <f ca="1">(B35-B38)/(B34)</f>
        <v>1.2214793401870777E-3</v>
      </c>
      <c r="H44" s="11"/>
      <c r="I44" s="1">
        <v>9</v>
      </c>
      <c r="J44" s="18">
        <f t="shared" ca="1" si="79"/>
        <v>0</v>
      </c>
      <c r="K44" s="16">
        <f t="shared" ca="1" si="79"/>
        <v>0</v>
      </c>
      <c r="L44" s="16">
        <f t="shared" ca="1" si="79"/>
        <v>0</v>
      </c>
      <c r="M44" s="16">
        <f t="shared" ca="1" si="79"/>
        <v>0</v>
      </c>
      <c r="N44" s="16">
        <f t="shared" ca="1" si="79"/>
        <v>0</v>
      </c>
      <c r="O44" s="16">
        <f t="shared" ca="1" si="79"/>
        <v>0</v>
      </c>
      <c r="P44" s="16">
        <f t="shared" ca="1" si="79"/>
        <v>0</v>
      </c>
      <c r="Q44" s="16">
        <f t="shared" ca="1" si="79"/>
        <v>0</v>
      </c>
      <c r="R44" s="16">
        <f t="shared" ca="1" si="79"/>
        <v>-3.6515239568136987E-2</v>
      </c>
      <c r="S44" s="16">
        <f t="shared" ca="1" si="79"/>
        <v>1.0730575476294246</v>
      </c>
      <c r="T44" s="16">
        <f t="shared" ca="1" si="80"/>
        <v>-3.6515239568136987E-2</v>
      </c>
      <c r="U44" s="16">
        <f t="shared" ca="1" si="80"/>
        <v>0</v>
      </c>
      <c r="V44" s="16">
        <f t="shared" ca="1" si="80"/>
        <v>0</v>
      </c>
      <c r="W44" s="16">
        <f t="shared" ca="1" si="80"/>
        <v>0</v>
      </c>
      <c r="X44" s="16">
        <f t="shared" ca="1" si="80"/>
        <v>0</v>
      </c>
      <c r="Y44" s="16">
        <f t="shared" ca="1" si="80"/>
        <v>0</v>
      </c>
      <c r="Z44" s="16">
        <f t="shared" ca="1" si="80"/>
        <v>0</v>
      </c>
      <c r="AA44" s="16">
        <f t="shared" ca="1" si="80"/>
        <v>0</v>
      </c>
      <c r="AB44" s="16">
        <f t="shared" ca="1" si="80"/>
        <v>0</v>
      </c>
      <c r="AC44" s="16">
        <f t="shared" ca="1" si="80"/>
        <v>0</v>
      </c>
      <c r="AD44" s="41">
        <f t="shared" ca="1" si="81"/>
        <v>0</v>
      </c>
      <c r="AE44" s="41">
        <f t="shared" ca="1" si="81"/>
        <v>0</v>
      </c>
      <c r="AF44" s="41">
        <f t="shared" ca="1" si="81"/>
        <v>0</v>
      </c>
      <c r="AG44" s="41">
        <f t="shared" ca="1" si="81"/>
        <v>0</v>
      </c>
      <c r="AH44" s="41">
        <f t="shared" ca="1" si="81"/>
        <v>0</v>
      </c>
      <c r="AI44" s="41">
        <f t="shared" ca="1" si="81"/>
        <v>0</v>
      </c>
      <c r="AJ44" s="41">
        <f t="shared" ca="1" si="81"/>
        <v>0</v>
      </c>
      <c r="AK44" s="41">
        <f t="shared" ca="1" si="81"/>
        <v>0</v>
      </c>
      <c r="AL44" s="41">
        <f t="shared" ca="1" si="81"/>
        <v>0</v>
      </c>
      <c r="AM44" s="41">
        <f t="shared" ca="1" si="81"/>
        <v>0</v>
      </c>
      <c r="AN44" s="41">
        <f t="shared" ca="1" si="81"/>
        <v>0</v>
      </c>
      <c r="AO44" s="41">
        <f t="shared" ca="1" si="81"/>
        <v>0</v>
      </c>
      <c r="AP44" s="41">
        <f t="shared" ca="1" si="81"/>
        <v>0</v>
      </c>
      <c r="AQ44" s="41">
        <f t="shared" ca="1" si="81"/>
        <v>0</v>
      </c>
      <c r="AR44" s="41">
        <f t="shared" ca="1" si="81"/>
        <v>0</v>
      </c>
      <c r="AS44" s="41">
        <f t="shared" ca="1" si="81"/>
        <v>0</v>
      </c>
      <c r="AT44" s="41">
        <f t="shared" ca="1" si="81"/>
        <v>0</v>
      </c>
      <c r="AU44" s="41">
        <f t="shared" ca="1" si="81"/>
        <v>0</v>
      </c>
      <c r="AV44" s="41">
        <f t="shared" ca="1" si="81"/>
        <v>0</v>
      </c>
      <c r="AW44" s="41">
        <f t="shared" ca="1" si="81"/>
        <v>0</v>
      </c>
      <c r="AX44" s="41">
        <f t="shared" ca="1" si="81"/>
        <v>0</v>
      </c>
      <c r="AY44" s="41">
        <f t="shared" ref="AD44:BG53" ca="1" si="83">IF(AY$35/$I44=1,OFFSET($J$30,1,$I44),IF((AY$35-1)/$I44=1,OFFSET($J$30,2,$I44),IF((AY$35-2)/$I44=1,OFFSET($J$30,3,$I44),0)))</f>
        <v>0</v>
      </c>
      <c r="AZ44" s="41">
        <f t="shared" ca="1" si="83"/>
        <v>0</v>
      </c>
      <c r="BA44" s="41">
        <f t="shared" ca="1" si="83"/>
        <v>0</v>
      </c>
      <c r="BB44" s="41">
        <f t="shared" ca="1" si="83"/>
        <v>0</v>
      </c>
      <c r="BC44" s="41">
        <f t="shared" ca="1" si="83"/>
        <v>0</v>
      </c>
      <c r="BD44" s="41">
        <f t="shared" ca="1" si="83"/>
        <v>0</v>
      </c>
      <c r="BE44" s="41">
        <f t="shared" ca="1" si="83"/>
        <v>0</v>
      </c>
      <c r="BF44" s="41">
        <f t="shared" ca="1" si="83"/>
        <v>0</v>
      </c>
      <c r="BG44" s="41">
        <f t="shared" ca="1" si="83"/>
        <v>0</v>
      </c>
      <c r="BH44" s="44">
        <f t="shared" ca="1" si="82"/>
        <v>0</v>
      </c>
    </row>
    <row r="45" spans="1:60" x14ac:dyDescent="0.25">
      <c r="A45" s="64" t="s">
        <v>67</v>
      </c>
      <c r="B45" s="60">
        <f ca="1">(B35-B38)/B35</f>
        <v>-1.1407874494993159E-2</v>
      </c>
      <c r="H45" s="11"/>
      <c r="I45" s="1">
        <v>10</v>
      </c>
      <c r="J45" s="18">
        <f t="shared" ca="1" si="79"/>
        <v>0</v>
      </c>
      <c r="K45" s="16">
        <f t="shared" ca="1" si="79"/>
        <v>0</v>
      </c>
      <c r="L45" s="16">
        <f t="shared" ca="1" si="79"/>
        <v>0</v>
      </c>
      <c r="M45" s="16">
        <f t="shared" ca="1" si="79"/>
        <v>0</v>
      </c>
      <c r="N45" s="16">
        <f t="shared" ca="1" si="79"/>
        <v>0</v>
      </c>
      <c r="O45" s="16">
        <f t="shared" ca="1" si="79"/>
        <v>0</v>
      </c>
      <c r="P45" s="16">
        <f t="shared" ca="1" si="79"/>
        <v>0</v>
      </c>
      <c r="Q45" s="16">
        <f t="shared" ca="1" si="79"/>
        <v>0</v>
      </c>
      <c r="R45" s="16">
        <f t="shared" ca="1" si="79"/>
        <v>0</v>
      </c>
      <c r="S45" s="16">
        <f t="shared" ca="1" si="79"/>
        <v>-4.5080542676712326E-2</v>
      </c>
      <c r="T45" s="16">
        <f t="shared" ca="1" si="80"/>
        <v>1.0901881538465754</v>
      </c>
      <c r="U45" s="16">
        <f t="shared" ca="1" si="80"/>
        <v>-4.5080542676712326E-2</v>
      </c>
      <c r="V45" s="16">
        <f t="shared" ca="1" si="80"/>
        <v>0</v>
      </c>
      <c r="W45" s="16">
        <f t="shared" ca="1" si="80"/>
        <v>0</v>
      </c>
      <c r="X45" s="16">
        <f t="shared" ca="1" si="80"/>
        <v>0</v>
      </c>
      <c r="Y45" s="16">
        <f t="shared" ca="1" si="80"/>
        <v>0</v>
      </c>
      <c r="Z45" s="16">
        <f t="shared" ca="1" si="80"/>
        <v>0</v>
      </c>
      <c r="AA45" s="16">
        <f t="shared" ca="1" si="80"/>
        <v>0</v>
      </c>
      <c r="AB45" s="16">
        <f t="shared" ca="1" si="80"/>
        <v>0</v>
      </c>
      <c r="AC45" s="16">
        <f t="shared" ca="1" si="80"/>
        <v>0</v>
      </c>
      <c r="AD45" s="41">
        <f t="shared" ca="1" si="83"/>
        <v>0</v>
      </c>
      <c r="AE45" s="41">
        <f t="shared" ca="1" si="83"/>
        <v>0</v>
      </c>
      <c r="AF45" s="41">
        <f t="shared" ca="1" si="83"/>
        <v>0</v>
      </c>
      <c r="AG45" s="41">
        <f t="shared" ca="1" si="83"/>
        <v>0</v>
      </c>
      <c r="AH45" s="41">
        <f t="shared" ca="1" si="83"/>
        <v>0</v>
      </c>
      <c r="AI45" s="41">
        <f t="shared" ca="1" si="83"/>
        <v>0</v>
      </c>
      <c r="AJ45" s="41">
        <f t="shared" ca="1" si="83"/>
        <v>0</v>
      </c>
      <c r="AK45" s="41">
        <f t="shared" ca="1" si="83"/>
        <v>0</v>
      </c>
      <c r="AL45" s="41">
        <f t="shared" ca="1" si="83"/>
        <v>0</v>
      </c>
      <c r="AM45" s="41">
        <f t="shared" ca="1" si="83"/>
        <v>0</v>
      </c>
      <c r="AN45" s="41">
        <f t="shared" ca="1" si="83"/>
        <v>0</v>
      </c>
      <c r="AO45" s="41">
        <f t="shared" ca="1" si="83"/>
        <v>0</v>
      </c>
      <c r="AP45" s="41">
        <f t="shared" ca="1" si="83"/>
        <v>0</v>
      </c>
      <c r="AQ45" s="41">
        <f t="shared" ca="1" si="83"/>
        <v>0</v>
      </c>
      <c r="AR45" s="41">
        <f t="shared" ca="1" si="83"/>
        <v>0</v>
      </c>
      <c r="AS45" s="41">
        <f t="shared" ca="1" si="83"/>
        <v>0</v>
      </c>
      <c r="AT45" s="41">
        <f t="shared" ca="1" si="83"/>
        <v>0</v>
      </c>
      <c r="AU45" s="41">
        <f t="shared" ca="1" si="83"/>
        <v>0</v>
      </c>
      <c r="AV45" s="41">
        <f t="shared" ca="1" si="83"/>
        <v>0</v>
      </c>
      <c r="AW45" s="41">
        <f t="shared" ca="1" si="83"/>
        <v>0</v>
      </c>
      <c r="AX45" s="41">
        <f t="shared" ca="1" si="83"/>
        <v>0</v>
      </c>
      <c r="AY45" s="41">
        <f t="shared" ca="1" si="83"/>
        <v>0</v>
      </c>
      <c r="AZ45" s="41">
        <f t="shared" ca="1" si="83"/>
        <v>0</v>
      </c>
      <c r="BA45" s="41">
        <f t="shared" ca="1" si="83"/>
        <v>0</v>
      </c>
      <c r="BB45" s="41">
        <f t="shared" ca="1" si="83"/>
        <v>0</v>
      </c>
      <c r="BC45" s="41">
        <f t="shared" ca="1" si="83"/>
        <v>0</v>
      </c>
      <c r="BD45" s="41">
        <f t="shared" ca="1" si="83"/>
        <v>0</v>
      </c>
      <c r="BE45" s="41">
        <f t="shared" ca="1" si="83"/>
        <v>0</v>
      </c>
      <c r="BF45" s="41">
        <f t="shared" ca="1" si="83"/>
        <v>0</v>
      </c>
      <c r="BG45" s="41">
        <f t="shared" ca="1" si="83"/>
        <v>0</v>
      </c>
      <c r="BH45" s="44">
        <f t="shared" ca="1" si="82"/>
        <v>0</v>
      </c>
    </row>
    <row r="46" spans="1:60" x14ac:dyDescent="0.25">
      <c r="A46" s="63"/>
      <c r="H46" s="11"/>
      <c r="I46" s="1">
        <v>11</v>
      </c>
      <c r="J46" s="18">
        <f t="shared" ref="J46:S61" ca="1" si="84">IF(J$35/$I46=1,OFFSET($J$30,1,$I46),IF((J$35-1)/$I46=1,OFFSET($J$30,2,$I46),IF((J$35-2)/$I46=1,OFFSET($J$30,3,$I46),0)))</f>
        <v>0</v>
      </c>
      <c r="K46" s="16">
        <f t="shared" ca="1" si="84"/>
        <v>0</v>
      </c>
      <c r="L46" s="16">
        <f t="shared" ca="1" si="84"/>
        <v>0</v>
      </c>
      <c r="M46" s="16">
        <f t="shared" ca="1" si="84"/>
        <v>0</v>
      </c>
      <c r="N46" s="16">
        <f t="shared" ca="1" si="84"/>
        <v>0</v>
      </c>
      <c r="O46" s="16">
        <f t="shared" ca="1" si="84"/>
        <v>0</v>
      </c>
      <c r="P46" s="16">
        <f t="shared" ca="1" si="84"/>
        <v>0</v>
      </c>
      <c r="Q46" s="16">
        <f t="shared" ca="1" si="84"/>
        <v>0</v>
      </c>
      <c r="R46" s="16">
        <f t="shared" ca="1" si="84"/>
        <v>0</v>
      </c>
      <c r="S46" s="16">
        <f t="shared" ca="1" si="84"/>
        <v>0</v>
      </c>
      <c r="T46" s="16">
        <f t="shared" ref="T46:AI61" ca="1" si="85">IF(T$35/$I46=1,OFFSET($J$30,1,$I46),IF((T$35-1)/$I46=1,OFFSET($J$30,2,$I46),IF((T$35-2)/$I46=1,OFFSET($J$30,3,$I46),0)))</f>
        <v>-5.4547456638821906E-2</v>
      </c>
      <c r="U46" s="16">
        <f t="shared" ca="1" si="85"/>
        <v>1.1091219817707945</v>
      </c>
      <c r="V46" s="16">
        <f t="shared" ca="1" si="85"/>
        <v>-5.4547456638821906E-2</v>
      </c>
      <c r="W46" s="16">
        <f t="shared" ca="1" si="85"/>
        <v>0</v>
      </c>
      <c r="X46" s="16">
        <f t="shared" ca="1" si="85"/>
        <v>0</v>
      </c>
      <c r="Y46" s="16">
        <f t="shared" ca="1" si="85"/>
        <v>0</v>
      </c>
      <c r="Z46" s="16">
        <f t="shared" ca="1" si="85"/>
        <v>0</v>
      </c>
      <c r="AA46" s="16">
        <f t="shared" ca="1" si="85"/>
        <v>0</v>
      </c>
      <c r="AB46" s="16">
        <f t="shared" ca="1" si="85"/>
        <v>0</v>
      </c>
      <c r="AC46" s="16">
        <f t="shared" ca="1" si="85"/>
        <v>0</v>
      </c>
      <c r="AD46" s="41">
        <f t="shared" ca="1" si="85"/>
        <v>0</v>
      </c>
      <c r="AE46" s="41">
        <f t="shared" ca="1" si="85"/>
        <v>0</v>
      </c>
      <c r="AF46" s="41">
        <f t="shared" ca="1" si="85"/>
        <v>0</v>
      </c>
      <c r="AG46" s="41">
        <f t="shared" ca="1" si="85"/>
        <v>0</v>
      </c>
      <c r="AH46" s="41">
        <f t="shared" ca="1" si="85"/>
        <v>0</v>
      </c>
      <c r="AI46" s="41">
        <f t="shared" ca="1" si="85"/>
        <v>0</v>
      </c>
      <c r="AJ46" s="41">
        <f t="shared" ca="1" si="83"/>
        <v>0</v>
      </c>
      <c r="AK46" s="41">
        <f t="shared" ca="1" si="83"/>
        <v>0</v>
      </c>
      <c r="AL46" s="41">
        <f t="shared" ca="1" si="83"/>
        <v>0</v>
      </c>
      <c r="AM46" s="41">
        <f t="shared" ca="1" si="83"/>
        <v>0</v>
      </c>
      <c r="AN46" s="41">
        <f t="shared" ca="1" si="83"/>
        <v>0</v>
      </c>
      <c r="AO46" s="41">
        <f t="shared" ca="1" si="83"/>
        <v>0</v>
      </c>
      <c r="AP46" s="41">
        <f t="shared" ca="1" si="83"/>
        <v>0</v>
      </c>
      <c r="AQ46" s="41">
        <f t="shared" ca="1" si="83"/>
        <v>0</v>
      </c>
      <c r="AR46" s="41">
        <f t="shared" ca="1" si="83"/>
        <v>0</v>
      </c>
      <c r="AS46" s="41">
        <f t="shared" ca="1" si="83"/>
        <v>0</v>
      </c>
      <c r="AT46" s="41">
        <f t="shared" ca="1" si="83"/>
        <v>0</v>
      </c>
      <c r="AU46" s="41">
        <f t="shared" ca="1" si="83"/>
        <v>0</v>
      </c>
      <c r="AV46" s="41">
        <f t="shared" ca="1" si="83"/>
        <v>0</v>
      </c>
      <c r="AW46" s="41">
        <f t="shared" ca="1" si="83"/>
        <v>0</v>
      </c>
      <c r="AX46" s="41">
        <f t="shared" ca="1" si="83"/>
        <v>0</v>
      </c>
      <c r="AY46" s="41">
        <f t="shared" ca="1" si="83"/>
        <v>0</v>
      </c>
      <c r="AZ46" s="41">
        <f t="shared" ca="1" si="83"/>
        <v>0</v>
      </c>
      <c r="BA46" s="41">
        <f t="shared" ca="1" si="83"/>
        <v>0</v>
      </c>
      <c r="BB46" s="41">
        <f t="shared" ca="1" si="83"/>
        <v>0</v>
      </c>
      <c r="BC46" s="41">
        <f t="shared" ca="1" si="83"/>
        <v>0</v>
      </c>
      <c r="BD46" s="41">
        <f t="shared" ca="1" si="83"/>
        <v>0</v>
      </c>
      <c r="BE46" s="41">
        <f t="shared" ca="1" si="83"/>
        <v>0</v>
      </c>
      <c r="BF46" s="41">
        <f t="shared" ca="1" si="83"/>
        <v>0</v>
      </c>
      <c r="BG46" s="41">
        <f t="shared" ca="1" si="83"/>
        <v>0</v>
      </c>
      <c r="BH46" s="44">
        <f t="shared" ca="1" si="82"/>
        <v>0</v>
      </c>
    </row>
    <row r="47" spans="1:60" x14ac:dyDescent="0.25">
      <c r="A47" s="63"/>
      <c r="H47" s="11"/>
      <c r="I47" s="1">
        <v>12</v>
      </c>
      <c r="J47" s="18">
        <f t="shared" ca="1" si="84"/>
        <v>0</v>
      </c>
      <c r="K47" s="16">
        <f t="shared" ca="1" si="84"/>
        <v>0</v>
      </c>
      <c r="L47" s="16">
        <f t="shared" ca="1" si="84"/>
        <v>0</v>
      </c>
      <c r="M47" s="16">
        <f t="shared" ca="1" si="84"/>
        <v>0</v>
      </c>
      <c r="N47" s="16">
        <f t="shared" ca="1" si="84"/>
        <v>0</v>
      </c>
      <c r="O47" s="16">
        <f t="shared" ca="1" si="84"/>
        <v>0</v>
      </c>
      <c r="P47" s="16">
        <f t="shared" ca="1" si="84"/>
        <v>0</v>
      </c>
      <c r="Q47" s="16">
        <f t="shared" ca="1" si="84"/>
        <v>0</v>
      </c>
      <c r="R47" s="16">
        <f t="shared" ca="1" si="84"/>
        <v>0</v>
      </c>
      <c r="S47" s="16">
        <f t="shared" ca="1" si="84"/>
        <v>0</v>
      </c>
      <c r="T47" s="16">
        <f t="shared" ca="1" si="85"/>
        <v>0</v>
      </c>
      <c r="U47" s="16">
        <f t="shared" ca="1" si="85"/>
        <v>-6.4915981454465754E-2</v>
      </c>
      <c r="V47" s="16">
        <f ca="1">IF(V$35/$I47=1,OFFSET($J$30,1,$I47),IF((V$35-1)/$I47=1,OFFSET($J$30,2,$I47),IF((V$35-2)/$I47=1,OFFSET($J$30,3,$I47),0)))</f>
        <v>1.1298590314020822</v>
      </c>
      <c r="W47" s="16">
        <f t="shared" ca="1" si="85"/>
        <v>-6.4915981454465754E-2</v>
      </c>
      <c r="X47" s="16">
        <f t="shared" ca="1" si="85"/>
        <v>0</v>
      </c>
      <c r="Y47" s="16">
        <f t="shared" ca="1" si="85"/>
        <v>0</v>
      </c>
      <c r="Z47" s="16">
        <f t="shared" ca="1" si="85"/>
        <v>0</v>
      </c>
      <c r="AA47" s="16">
        <f t="shared" ca="1" si="85"/>
        <v>0</v>
      </c>
      <c r="AB47" s="16">
        <f t="shared" ca="1" si="85"/>
        <v>0</v>
      </c>
      <c r="AC47" s="16">
        <f t="shared" ca="1" si="85"/>
        <v>0</v>
      </c>
      <c r="AD47" s="41">
        <f t="shared" ca="1" si="83"/>
        <v>0</v>
      </c>
      <c r="AE47" s="41">
        <f t="shared" ca="1" si="83"/>
        <v>0</v>
      </c>
      <c r="AF47" s="41">
        <f t="shared" ca="1" si="83"/>
        <v>0</v>
      </c>
      <c r="AG47" s="41">
        <f t="shared" ca="1" si="83"/>
        <v>0</v>
      </c>
      <c r="AH47" s="41">
        <f t="shared" ca="1" si="83"/>
        <v>0</v>
      </c>
      <c r="AI47" s="41">
        <f t="shared" ca="1" si="83"/>
        <v>0</v>
      </c>
      <c r="AJ47" s="41">
        <f t="shared" ca="1" si="83"/>
        <v>0</v>
      </c>
      <c r="AK47" s="41">
        <f t="shared" ca="1" si="83"/>
        <v>0</v>
      </c>
      <c r="AL47" s="41">
        <f t="shared" ca="1" si="83"/>
        <v>0</v>
      </c>
      <c r="AM47" s="41">
        <f t="shared" ca="1" si="83"/>
        <v>0</v>
      </c>
      <c r="AN47" s="41">
        <f t="shared" ca="1" si="83"/>
        <v>0</v>
      </c>
      <c r="AO47" s="41">
        <f t="shared" ca="1" si="83"/>
        <v>0</v>
      </c>
      <c r="AP47" s="41">
        <f t="shared" ca="1" si="83"/>
        <v>0</v>
      </c>
      <c r="AQ47" s="41">
        <f t="shared" ca="1" si="83"/>
        <v>0</v>
      </c>
      <c r="AR47" s="41">
        <f t="shared" ca="1" si="83"/>
        <v>0</v>
      </c>
      <c r="AS47" s="41">
        <f t="shared" ca="1" si="83"/>
        <v>0</v>
      </c>
      <c r="AT47" s="41">
        <f t="shared" ca="1" si="83"/>
        <v>0</v>
      </c>
      <c r="AU47" s="41">
        <f t="shared" ca="1" si="83"/>
        <v>0</v>
      </c>
      <c r="AV47" s="41">
        <f t="shared" ca="1" si="83"/>
        <v>0</v>
      </c>
      <c r="AW47" s="41">
        <f t="shared" ca="1" si="83"/>
        <v>0</v>
      </c>
      <c r="AX47" s="41">
        <f t="shared" ca="1" si="83"/>
        <v>0</v>
      </c>
      <c r="AY47" s="41">
        <f t="shared" ca="1" si="83"/>
        <v>0</v>
      </c>
      <c r="AZ47" s="41">
        <f t="shared" ca="1" si="83"/>
        <v>0</v>
      </c>
      <c r="BA47" s="41">
        <f t="shared" ca="1" si="83"/>
        <v>0</v>
      </c>
      <c r="BB47" s="41">
        <f t="shared" ca="1" si="83"/>
        <v>0</v>
      </c>
      <c r="BC47" s="41">
        <f t="shared" ca="1" si="83"/>
        <v>0</v>
      </c>
      <c r="BD47" s="41">
        <f t="shared" ca="1" si="83"/>
        <v>0</v>
      </c>
      <c r="BE47" s="41">
        <f t="shared" ca="1" si="83"/>
        <v>0</v>
      </c>
      <c r="BF47" s="41">
        <f t="shared" ca="1" si="83"/>
        <v>0</v>
      </c>
      <c r="BG47" s="41">
        <f t="shared" ca="1" si="83"/>
        <v>0</v>
      </c>
      <c r="BH47" s="44">
        <f t="shared" ca="1" si="82"/>
        <v>0</v>
      </c>
    </row>
    <row r="48" spans="1:60" x14ac:dyDescent="0.25">
      <c r="A48" s="63"/>
      <c r="H48" s="11"/>
      <c r="I48" s="1">
        <v>13</v>
      </c>
      <c r="J48" s="18">
        <f t="shared" ca="1" si="84"/>
        <v>0</v>
      </c>
      <c r="K48" s="16">
        <f t="shared" ca="1" si="84"/>
        <v>0</v>
      </c>
      <c r="L48" s="16">
        <f t="shared" ca="1" si="84"/>
        <v>0</v>
      </c>
      <c r="M48" s="16">
        <f t="shared" ca="1" si="84"/>
        <v>0</v>
      </c>
      <c r="N48" s="16">
        <f t="shared" ca="1" si="84"/>
        <v>0</v>
      </c>
      <c r="O48" s="16">
        <f t="shared" ca="1" si="84"/>
        <v>0</v>
      </c>
      <c r="P48" s="16">
        <f t="shared" ca="1" si="84"/>
        <v>0</v>
      </c>
      <c r="Q48" s="16">
        <f t="shared" ca="1" si="84"/>
        <v>0</v>
      </c>
      <c r="R48" s="16">
        <f t="shared" ca="1" si="84"/>
        <v>0</v>
      </c>
      <c r="S48" s="16">
        <f t="shared" ca="1" si="84"/>
        <v>0</v>
      </c>
      <c r="T48" s="16">
        <f t="shared" ca="1" si="85"/>
        <v>0</v>
      </c>
      <c r="U48" s="16">
        <f t="shared" ca="1" si="85"/>
        <v>0</v>
      </c>
      <c r="V48" s="16">
        <f t="shared" ca="1" si="85"/>
        <v>-7.6186117123643829E-2</v>
      </c>
      <c r="W48" s="16">
        <f t="shared" ca="1" si="85"/>
        <v>1.1523993027404384</v>
      </c>
      <c r="X48" s="16">
        <f t="shared" ca="1" si="85"/>
        <v>-7.6186117123643829E-2</v>
      </c>
      <c r="Y48" s="16">
        <f t="shared" ca="1" si="85"/>
        <v>0</v>
      </c>
      <c r="Z48" s="16">
        <f t="shared" ca="1" si="85"/>
        <v>0</v>
      </c>
      <c r="AA48" s="16">
        <f t="shared" ca="1" si="85"/>
        <v>0</v>
      </c>
      <c r="AB48" s="16">
        <f t="shared" ca="1" si="85"/>
        <v>0</v>
      </c>
      <c r="AC48" s="16">
        <f t="shared" ca="1" si="85"/>
        <v>0</v>
      </c>
      <c r="AD48" s="41">
        <f t="shared" ca="1" si="83"/>
        <v>0</v>
      </c>
      <c r="AE48" s="41">
        <f t="shared" ca="1" si="83"/>
        <v>0</v>
      </c>
      <c r="AF48" s="41">
        <f t="shared" ca="1" si="83"/>
        <v>0</v>
      </c>
      <c r="AG48" s="41">
        <f t="shared" ca="1" si="83"/>
        <v>0</v>
      </c>
      <c r="AH48" s="41">
        <f t="shared" ca="1" si="83"/>
        <v>0</v>
      </c>
      <c r="AI48" s="41">
        <f t="shared" ca="1" si="83"/>
        <v>0</v>
      </c>
      <c r="AJ48" s="41">
        <f t="shared" ca="1" si="83"/>
        <v>0</v>
      </c>
      <c r="AK48" s="41">
        <f t="shared" ca="1" si="83"/>
        <v>0</v>
      </c>
      <c r="AL48" s="41">
        <f t="shared" ca="1" si="83"/>
        <v>0</v>
      </c>
      <c r="AM48" s="41">
        <f t="shared" ca="1" si="83"/>
        <v>0</v>
      </c>
      <c r="AN48" s="41">
        <f t="shared" ca="1" si="83"/>
        <v>0</v>
      </c>
      <c r="AO48" s="41">
        <f t="shared" ca="1" si="83"/>
        <v>0</v>
      </c>
      <c r="AP48" s="41">
        <f t="shared" ca="1" si="83"/>
        <v>0</v>
      </c>
      <c r="AQ48" s="41">
        <f t="shared" ca="1" si="83"/>
        <v>0</v>
      </c>
      <c r="AR48" s="41">
        <f t="shared" ca="1" si="83"/>
        <v>0</v>
      </c>
      <c r="AS48" s="41">
        <f t="shared" ca="1" si="83"/>
        <v>0</v>
      </c>
      <c r="AT48" s="41">
        <f t="shared" ca="1" si="83"/>
        <v>0</v>
      </c>
      <c r="AU48" s="41">
        <f t="shared" ca="1" si="83"/>
        <v>0</v>
      </c>
      <c r="AV48" s="41">
        <f t="shared" ca="1" si="83"/>
        <v>0</v>
      </c>
      <c r="AW48" s="41">
        <f t="shared" ca="1" si="83"/>
        <v>0</v>
      </c>
      <c r="AX48" s="41">
        <f t="shared" ca="1" si="83"/>
        <v>0</v>
      </c>
      <c r="AY48" s="41">
        <f t="shared" ca="1" si="83"/>
        <v>0</v>
      </c>
      <c r="AZ48" s="41">
        <f t="shared" ca="1" si="83"/>
        <v>0</v>
      </c>
      <c r="BA48" s="41">
        <f t="shared" ca="1" si="83"/>
        <v>0</v>
      </c>
      <c r="BB48" s="41">
        <f t="shared" ca="1" si="83"/>
        <v>0</v>
      </c>
      <c r="BC48" s="41">
        <f t="shared" ca="1" si="83"/>
        <v>0</v>
      </c>
      <c r="BD48" s="41">
        <f t="shared" ca="1" si="83"/>
        <v>0</v>
      </c>
      <c r="BE48" s="41">
        <f t="shared" ca="1" si="83"/>
        <v>0</v>
      </c>
      <c r="BF48" s="41">
        <f t="shared" ca="1" si="83"/>
        <v>0</v>
      </c>
      <c r="BG48" s="41">
        <f t="shared" ca="1" si="83"/>
        <v>0</v>
      </c>
      <c r="BH48" s="44">
        <f t="shared" ca="1" si="82"/>
        <v>0</v>
      </c>
    </row>
    <row r="49" spans="1:60" x14ac:dyDescent="0.25">
      <c r="H49" s="11"/>
      <c r="I49" s="1">
        <v>14</v>
      </c>
      <c r="J49" s="18">
        <f t="shared" ca="1" si="84"/>
        <v>0</v>
      </c>
      <c r="K49" s="16">
        <f t="shared" ca="1" si="84"/>
        <v>0</v>
      </c>
      <c r="L49" s="16">
        <f t="shared" ca="1" si="84"/>
        <v>0</v>
      </c>
      <c r="M49" s="16">
        <f t="shared" ca="1" si="84"/>
        <v>0</v>
      </c>
      <c r="N49" s="16">
        <f t="shared" ca="1" si="84"/>
        <v>0</v>
      </c>
      <c r="O49" s="16">
        <f t="shared" ca="1" si="84"/>
        <v>0</v>
      </c>
      <c r="P49" s="16">
        <f t="shared" ca="1" si="84"/>
        <v>0</v>
      </c>
      <c r="Q49" s="16">
        <f t="shared" ca="1" si="84"/>
        <v>0</v>
      </c>
      <c r="R49" s="16">
        <f t="shared" ca="1" si="84"/>
        <v>0</v>
      </c>
      <c r="S49" s="16">
        <f t="shared" ca="1" si="84"/>
        <v>0</v>
      </c>
      <c r="T49" s="16">
        <f t="shared" ca="1" si="85"/>
        <v>0</v>
      </c>
      <c r="U49" s="16">
        <f t="shared" ca="1" si="85"/>
        <v>0</v>
      </c>
      <c r="V49" s="16">
        <f t="shared" ca="1" si="85"/>
        <v>0</v>
      </c>
      <c r="W49" s="16">
        <f t="shared" ca="1" si="85"/>
        <v>-8.8357863646356158E-2</v>
      </c>
      <c r="X49" s="16">
        <f t="shared" ca="1" si="85"/>
        <v>1.1767427957858629</v>
      </c>
      <c r="Y49" s="16">
        <f t="shared" ca="1" si="85"/>
        <v>-8.8357863646356158E-2</v>
      </c>
      <c r="Z49" s="16">
        <f t="shared" ca="1" si="85"/>
        <v>0</v>
      </c>
      <c r="AA49" s="16">
        <f t="shared" ca="1" si="85"/>
        <v>0</v>
      </c>
      <c r="AB49" s="16">
        <f t="shared" ca="1" si="85"/>
        <v>0</v>
      </c>
      <c r="AC49" s="16">
        <f t="shared" ca="1" si="85"/>
        <v>0</v>
      </c>
      <c r="AD49" s="41">
        <f t="shared" ca="1" si="83"/>
        <v>0</v>
      </c>
      <c r="AE49" s="41">
        <f t="shared" ca="1" si="83"/>
        <v>0</v>
      </c>
      <c r="AF49" s="41">
        <f t="shared" ca="1" si="83"/>
        <v>0</v>
      </c>
      <c r="AG49" s="41">
        <f t="shared" ca="1" si="83"/>
        <v>0</v>
      </c>
      <c r="AH49" s="41">
        <f t="shared" ca="1" si="83"/>
        <v>0</v>
      </c>
      <c r="AI49" s="41">
        <f t="shared" ca="1" si="83"/>
        <v>0</v>
      </c>
      <c r="AJ49" s="41">
        <f t="shared" ca="1" si="83"/>
        <v>0</v>
      </c>
      <c r="AK49" s="41">
        <f t="shared" ca="1" si="83"/>
        <v>0</v>
      </c>
      <c r="AL49" s="41">
        <f t="shared" ca="1" si="83"/>
        <v>0</v>
      </c>
      <c r="AM49" s="41">
        <f t="shared" ca="1" si="83"/>
        <v>0</v>
      </c>
      <c r="AN49" s="41">
        <f t="shared" ca="1" si="83"/>
        <v>0</v>
      </c>
      <c r="AO49" s="41">
        <f t="shared" ca="1" si="83"/>
        <v>0</v>
      </c>
      <c r="AP49" s="41">
        <f t="shared" ca="1" si="83"/>
        <v>0</v>
      </c>
      <c r="AQ49" s="41">
        <f t="shared" ca="1" si="83"/>
        <v>0</v>
      </c>
      <c r="AR49" s="41">
        <f t="shared" ca="1" si="83"/>
        <v>0</v>
      </c>
      <c r="AS49" s="41">
        <f t="shared" ca="1" si="83"/>
        <v>0</v>
      </c>
      <c r="AT49" s="41">
        <f t="shared" ca="1" si="83"/>
        <v>0</v>
      </c>
      <c r="AU49" s="41">
        <f t="shared" ca="1" si="83"/>
        <v>0</v>
      </c>
      <c r="AV49" s="41">
        <f t="shared" ca="1" si="83"/>
        <v>0</v>
      </c>
      <c r="AW49" s="41">
        <f t="shared" ca="1" si="83"/>
        <v>0</v>
      </c>
      <c r="AX49" s="41">
        <f t="shared" ca="1" si="83"/>
        <v>0</v>
      </c>
      <c r="AY49" s="41">
        <f t="shared" ca="1" si="83"/>
        <v>0</v>
      </c>
      <c r="AZ49" s="41">
        <f t="shared" ca="1" si="83"/>
        <v>0</v>
      </c>
      <c r="BA49" s="41">
        <f t="shared" ca="1" si="83"/>
        <v>0</v>
      </c>
      <c r="BB49" s="41">
        <f t="shared" ca="1" si="83"/>
        <v>0</v>
      </c>
      <c r="BC49" s="41">
        <f t="shared" ca="1" si="83"/>
        <v>0</v>
      </c>
      <c r="BD49" s="41">
        <f t="shared" ca="1" si="83"/>
        <v>0</v>
      </c>
      <c r="BE49" s="41">
        <f t="shared" ca="1" si="83"/>
        <v>0</v>
      </c>
      <c r="BF49" s="41">
        <f t="shared" ca="1" si="83"/>
        <v>0</v>
      </c>
      <c r="BG49" s="41">
        <f t="shared" ca="1" si="83"/>
        <v>0</v>
      </c>
      <c r="BH49" s="44">
        <f t="shared" ca="1" si="82"/>
        <v>0</v>
      </c>
    </row>
    <row r="50" spans="1:60" x14ac:dyDescent="0.25">
      <c r="H50" s="11"/>
      <c r="I50" s="1">
        <v>15</v>
      </c>
      <c r="J50" s="18">
        <f t="shared" ca="1" si="84"/>
        <v>0</v>
      </c>
      <c r="K50" s="16">
        <f t="shared" ca="1" si="84"/>
        <v>0</v>
      </c>
      <c r="L50" s="16">
        <f t="shared" ca="1" si="84"/>
        <v>0</v>
      </c>
      <c r="M50" s="16">
        <f t="shared" ca="1" si="84"/>
        <v>0</v>
      </c>
      <c r="N50" s="16">
        <f t="shared" ca="1" si="84"/>
        <v>0</v>
      </c>
      <c r="O50" s="16">
        <f t="shared" ca="1" si="84"/>
        <v>0</v>
      </c>
      <c r="P50" s="16">
        <f t="shared" ca="1" si="84"/>
        <v>0</v>
      </c>
      <c r="Q50" s="16">
        <f t="shared" ca="1" si="84"/>
        <v>0</v>
      </c>
      <c r="R50" s="16">
        <f t="shared" ca="1" si="84"/>
        <v>0</v>
      </c>
      <c r="S50" s="16">
        <f t="shared" ca="1" si="84"/>
        <v>0</v>
      </c>
      <c r="T50" s="16">
        <f t="shared" ca="1" si="85"/>
        <v>0</v>
      </c>
      <c r="U50" s="16">
        <f t="shared" ca="1" si="85"/>
        <v>0</v>
      </c>
      <c r="V50" s="16">
        <f t="shared" ca="1" si="85"/>
        <v>0</v>
      </c>
      <c r="W50" s="16">
        <f t="shared" ca="1" si="85"/>
        <v>0</v>
      </c>
      <c r="X50" s="16">
        <f t="shared" ca="1" si="85"/>
        <v>-0.10143122102260273</v>
      </c>
      <c r="Y50" s="16">
        <f t="shared" ca="1" si="85"/>
        <v>1.2028895105383561</v>
      </c>
      <c r="Z50" s="16">
        <f t="shared" ca="1" si="85"/>
        <v>-0.10143122102260273</v>
      </c>
      <c r="AA50" s="16">
        <f t="shared" ca="1" si="85"/>
        <v>0</v>
      </c>
      <c r="AB50" s="16">
        <f t="shared" ca="1" si="85"/>
        <v>0</v>
      </c>
      <c r="AC50" s="16">
        <f t="shared" ca="1" si="85"/>
        <v>0</v>
      </c>
      <c r="AD50" s="41">
        <f t="shared" ca="1" si="83"/>
        <v>0</v>
      </c>
      <c r="AE50" s="41">
        <f t="shared" ca="1" si="83"/>
        <v>0</v>
      </c>
      <c r="AF50" s="41">
        <f t="shared" ca="1" si="83"/>
        <v>0</v>
      </c>
      <c r="AG50" s="41">
        <f t="shared" ca="1" si="83"/>
        <v>0</v>
      </c>
      <c r="AH50" s="41">
        <f t="shared" ca="1" si="83"/>
        <v>0</v>
      </c>
      <c r="AI50" s="41">
        <f t="shared" ca="1" si="83"/>
        <v>0</v>
      </c>
      <c r="AJ50" s="41">
        <f t="shared" ca="1" si="83"/>
        <v>0</v>
      </c>
      <c r="AK50" s="41">
        <f t="shared" ca="1" si="83"/>
        <v>0</v>
      </c>
      <c r="AL50" s="41">
        <f t="shared" ca="1" si="83"/>
        <v>0</v>
      </c>
      <c r="AM50" s="41">
        <f t="shared" ca="1" si="83"/>
        <v>0</v>
      </c>
      <c r="AN50" s="41">
        <f t="shared" ca="1" si="83"/>
        <v>0</v>
      </c>
      <c r="AO50" s="41">
        <f t="shared" ca="1" si="83"/>
        <v>0</v>
      </c>
      <c r="AP50" s="41">
        <f t="shared" ca="1" si="83"/>
        <v>0</v>
      </c>
      <c r="AQ50" s="41">
        <f t="shared" ca="1" si="83"/>
        <v>0</v>
      </c>
      <c r="AR50" s="41">
        <f t="shared" ca="1" si="83"/>
        <v>0</v>
      </c>
      <c r="AS50" s="41">
        <f t="shared" ca="1" si="83"/>
        <v>0</v>
      </c>
      <c r="AT50" s="41">
        <f t="shared" ca="1" si="83"/>
        <v>0</v>
      </c>
      <c r="AU50" s="41">
        <f t="shared" ca="1" si="83"/>
        <v>0</v>
      </c>
      <c r="AV50" s="41">
        <f t="shared" ca="1" si="83"/>
        <v>0</v>
      </c>
      <c r="AW50" s="41">
        <f t="shared" ca="1" si="83"/>
        <v>0</v>
      </c>
      <c r="AX50" s="41">
        <f t="shared" ca="1" si="83"/>
        <v>0</v>
      </c>
      <c r="AY50" s="41">
        <f t="shared" ca="1" si="83"/>
        <v>0</v>
      </c>
      <c r="AZ50" s="41">
        <f t="shared" ca="1" si="83"/>
        <v>0</v>
      </c>
      <c r="BA50" s="41">
        <f t="shared" ca="1" si="83"/>
        <v>0</v>
      </c>
      <c r="BB50" s="41">
        <f t="shared" ca="1" si="83"/>
        <v>0</v>
      </c>
      <c r="BC50" s="41">
        <f t="shared" ca="1" si="83"/>
        <v>0</v>
      </c>
      <c r="BD50" s="41">
        <f t="shared" ca="1" si="83"/>
        <v>0</v>
      </c>
      <c r="BE50" s="41">
        <f t="shared" ca="1" si="83"/>
        <v>0</v>
      </c>
      <c r="BF50" s="41">
        <f t="shared" ca="1" si="83"/>
        <v>0</v>
      </c>
      <c r="BG50" s="41">
        <f t="shared" ca="1" si="83"/>
        <v>0</v>
      </c>
      <c r="BH50" s="44">
        <f t="shared" ca="1" si="82"/>
        <v>0</v>
      </c>
    </row>
    <row r="51" spans="1:60" x14ac:dyDescent="0.25">
      <c r="H51" s="11"/>
      <c r="I51" s="1">
        <v>16</v>
      </c>
      <c r="J51" s="18">
        <f t="shared" ca="1" si="84"/>
        <v>0</v>
      </c>
      <c r="K51" s="16">
        <f t="shared" ca="1" si="84"/>
        <v>0</v>
      </c>
      <c r="L51" s="16">
        <f t="shared" ca="1" si="84"/>
        <v>0</v>
      </c>
      <c r="M51" s="16">
        <f t="shared" ca="1" si="84"/>
        <v>0</v>
      </c>
      <c r="N51" s="16">
        <f t="shared" ca="1" si="84"/>
        <v>0</v>
      </c>
      <c r="O51" s="16">
        <f t="shared" ca="1" si="84"/>
        <v>0</v>
      </c>
      <c r="P51" s="16">
        <f t="shared" ca="1" si="84"/>
        <v>0</v>
      </c>
      <c r="Q51" s="16">
        <f t="shared" ca="1" si="84"/>
        <v>0</v>
      </c>
      <c r="R51" s="16">
        <f t="shared" ca="1" si="84"/>
        <v>0</v>
      </c>
      <c r="S51" s="16">
        <f t="shared" ca="1" si="84"/>
        <v>0</v>
      </c>
      <c r="T51" s="16">
        <f t="shared" ca="1" si="85"/>
        <v>0</v>
      </c>
      <c r="U51" s="16">
        <f t="shared" ca="1" si="85"/>
        <v>0</v>
      </c>
      <c r="V51" s="16">
        <f t="shared" ca="1" si="85"/>
        <v>0</v>
      </c>
      <c r="W51" s="16">
        <f t="shared" ca="1" si="85"/>
        <v>0</v>
      </c>
      <c r="X51" s="16">
        <f t="shared" ca="1" si="85"/>
        <v>0</v>
      </c>
      <c r="Y51" s="16">
        <f t="shared" ca="1" si="85"/>
        <v>-0.11540618925238355</v>
      </c>
      <c r="Z51" s="16">
        <f t="shared" ca="1" si="85"/>
        <v>1.2308394469979178</v>
      </c>
      <c r="AA51" s="16">
        <f t="shared" ca="1" si="85"/>
        <v>-0.11540618925238355</v>
      </c>
      <c r="AB51" s="16">
        <f t="shared" ca="1" si="85"/>
        <v>0</v>
      </c>
      <c r="AC51" s="16">
        <f t="shared" ca="1" si="85"/>
        <v>0</v>
      </c>
      <c r="AD51" s="41">
        <f t="shared" ca="1" si="83"/>
        <v>0</v>
      </c>
      <c r="AE51" s="41">
        <f t="shared" ca="1" si="83"/>
        <v>0</v>
      </c>
      <c r="AF51" s="41">
        <f t="shared" ca="1" si="83"/>
        <v>0</v>
      </c>
      <c r="AG51" s="41">
        <f t="shared" ca="1" si="83"/>
        <v>0</v>
      </c>
      <c r="AH51" s="41">
        <f t="shared" ca="1" si="83"/>
        <v>0</v>
      </c>
      <c r="AI51" s="41">
        <f t="shared" ca="1" si="83"/>
        <v>0</v>
      </c>
      <c r="AJ51" s="41">
        <f t="shared" ca="1" si="83"/>
        <v>0</v>
      </c>
      <c r="AK51" s="41">
        <f t="shared" ca="1" si="83"/>
        <v>0</v>
      </c>
      <c r="AL51" s="41">
        <f t="shared" ca="1" si="83"/>
        <v>0</v>
      </c>
      <c r="AM51" s="41">
        <f t="shared" ca="1" si="83"/>
        <v>0</v>
      </c>
      <c r="AN51" s="41">
        <f t="shared" ca="1" si="83"/>
        <v>0</v>
      </c>
      <c r="AO51" s="41">
        <f t="shared" ca="1" si="83"/>
        <v>0</v>
      </c>
      <c r="AP51" s="41">
        <f t="shared" ca="1" si="83"/>
        <v>0</v>
      </c>
      <c r="AQ51" s="41">
        <f t="shared" ca="1" si="83"/>
        <v>0</v>
      </c>
      <c r="AR51" s="41">
        <f t="shared" ca="1" si="83"/>
        <v>0</v>
      </c>
      <c r="AS51" s="41">
        <f t="shared" ca="1" si="83"/>
        <v>0</v>
      </c>
      <c r="AT51" s="41">
        <f t="shared" ca="1" si="83"/>
        <v>0</v>
      </c>
      <c r="AU51" s="41">
        <f t="shared" ca="1" si="83"/>
        <v>0</v>
      </c>
      <c r="AV51" s="41">
        <f t="shared" ca="1" si="83"/>
        <v>0</v>
      </c>
      <c r="AW51" s="41">
        <f t="shared" ca="1" si="83"/>
        <v>0</v>
      </c>
      <c r="AX51" s="41">
        <f t="shared" ca="1" si="83"/>
        <v>0</v>
      </c>
      <c r="AY51" s="41">
        <f t="shared" ca="1" si="83"/>
        <v>0</v>
      </c>
      <c r="AZ51" s="41">
        <f t="shared" ca="1" si="83"/>
        <v>0</v>
      </c>
      <c r="BA51" s="41">
        <f t="shared" ca="1" si="83"/>
        <v>0</v>
      </c>
      <c r="BB51" s="41">
        <f t="shared" ca="1" si="83"/>
        <v>0</v>
      </c>
      <c r="BC51" s="41">
        <f t="shared" ca="1" si="83"/>
        <v>0</v>
      </c>
      <c r="BD51" s="41">
        <f t="shared" ca="1" si="83"/>
        <v>0</v>
      </c>
      <c r="BE51" s="41">
        <f t="shared" ca="1" si="83"/>
        <v>0</v>
      </c>
      <c r="BF51" s="41">
        <f t="shared" ca="1" si="83"/>
        <v>0</v>
      </c>
      <c r="BG51" s="41">
        <f t="shared" ca="1" si="83"/>
        <v>0</v>
      </c>
      <c r="BH51" s="44">
        <f t="shared" ca="1" si="82"/>
        <v>0</v>
      </c>
    </row>
    <row r="52" spans="1:60" x14ac:dyDescent="0.25">
      <c r="H52" s="11"/>
      <c r="I52" s="1">
        <v>17</v>
      </c>
      <c r="J52" s="18">
        <f t="shared" ca="1" si="84"/>
        <v>0</v>
      </c>
      <c r="K52" s="16">
        <f t="shared" ca="1" si="84"/>
        <v>0</v>
      </c>
      <c r="L52" s="16">
        <f t="shared" ca="1" si="84"/>
        <v>0</v>
      </c>
      <c r="M52" s="16">
        <f t="shared" ca="1" si="84"/>
        <v>0</v>
      </c>
      <c r="N52" s="16">
        <f t="shared" ca="1" si="84"/>
        <v>0</v>
      </c>
      <c r="O52" s="16">
        <f t="shared" ca="1" si="84"/>
        <v>0</v>
      </c>
      <c r="P52" s="16">
        <f t="shared" ca="1" si="84"/>
        <v>0</v>
      </c>
      <c r="Q52" s="16">
        <f t="shared" ca="1" si="84"/>
        <v>0</v>
      </c>
      <c r="R52" s="16">
        <f t="shared" ca="1" si="84"/>
        <v>0</v>
      </c>
      <c r="S52" s="16">
        <f t="shared" ca="1" si="84"/>
        <v>0</v>
      </c>
      <c r="T52" s="16">
        <f t="shared" ca="1" si="85"/>
        <v>0</v>
      </c>
      <c r="U52" s="16">
        <f t="shared" ca="1" si="85"/>
        <v>0</v>
      </c>
      <c r="V52" s="16">
        <f t="shared" ca="1" si="85"/>
        <v>0</v>
      </c>
      <c r="W52" s="16">
        <f t="shared" ca="1" si="85"/>
        <v>0</v>
      </c>
      <c r="X52" s="16">
        <f t="shared" ca="1" si="85"/>
        <v>0</v>
      </c>
      <c r="Y52" s="16">
        <f t="shared" ca="1" si="85"/>
        <v>0</v>
      </c>
      <c r="Z52" s="16">
        <f t="shared" ca="1" si="85"/>
        <v>-0.13028276833569863</v>
      </c>
      <c r="AA52" s="16">
        <f t="shared" ca="1" si="85"/>
        <v>1.260592605164548</v>
      </c>
      <c r="AB52" s="16">
        <f t="shared" ca="1" si="85"/>
        <v>-0.13028276833569863</v>
      </c>
      <c r="AC52" s="16">
        <f t="shared" ca="1" si="85"/>
        <v>0</v>
      </c>
      <c r="AD52" s="41">
        <f t="shared" ca="1" si="83"/>
        <v>0</v>
      </c>
      <c r="AE52" s="41">
        <f t="shared" ca="1" si="83"/>
        <v>0</v>
      </c>
      <c r="AF52" s="41">
        <f t="shared" ca="1" si="83"/>
        <v>0</v>
      </c>
      <c r="AG52" s="41">
        <f t="shared" ca="1" si="83"/>
        <v>0</v>
      </c>
      <c r="AH52" s="41">
        <f t="shared" ca="1" si="83"/>
        <v>0</v>
      </c>
      <c r="AI52" s="41">
        <f t="shared" ca="1" si="83"/>
        <v>0</v>
      </c>
      <c r="AJ52" s="41">
        <f t="shared" ca="1" si="83"/>
        <v>0</v>
      </c>
      <c r="AK52" s="41">
        <f t="shared" ca="1" si="83"/>
        <v>0</v>
      </c>
      <c r="AL52" s="41">
        <f t="shared" ca="1" si="83"/>
        <v>0</v>
      </c>
      <c r="AM52" s="41">
        <f t="shared" ca="1" si="83"/>
        <v>0</v>
      </c>
      <c r="AN52" s="41">
        <f t="shared" ca="1" si="83"/>
        <v>0</v>
      </c>
      <c r="AO52" s="41">
        <f t="shared" ca="1" si="83"/>
        <v>0</v>
      </c>
      <c r="AP52" s="41">
        <f t="shared" ca="1" si="83"/>
        <v>0</v>
      </c>
      <c r="AQ52" s="41">
        <f t="shared" ca="1" si="83"/>
        <v>0</v>
      </c>
      <c r="AR52" s="41">
        <f t="shared" ca="1" si="83"/>
        <v>0</v>
      </c>
      <c r="AS52" s="41">
        <f t="shared" ca="1" si="83"/>
        <v>0</v>
      </c>
      <c r="AT52" s="41">
        <f t="shared" ca="1" si="83"/>
        <v>0</v>
      </c>
      <c r="AU52" s="41">
        <f t="shared" ca="1" si="83"/>
        <v>0</v>
      </c>
      <c r="AV52" s="41">
        <f t="shared" ca="1" si="83"/>
        <v>0</v>
      </c>
      <c r="AW52" s="41">
        <f t="shared" ca="1" si="83"/>
        <v>0</v>
      </c>
      <c r="AX52" s="41">
        <f t="shared" ca="1" si="83"/>
        <v>0</v>
      </c>
      <c r="AY52" s="41">
        <f t="shared" ca="1" si="83"/>
        <v>0</v>
      </c>
      <c r="AZ52" s="41">
        <f t="shared" ca="1" si="83"/>
        <v>0</v>
      </c>
      <c r="BA52" s="41">
        <f t="shared" ca="1" si="83"/>
        <v>0</v>
      </c>
      <c r="BB52" s="41">
        <f t="shared" ca="1" si="83"/>
        <v>0</v>
      </c>
      <c r="BC52" s="41">
        <f t="shared" ca="1" si="83"/>
        <v>0</v>
      </c>
      <c r="BD52" s="41">
        <f t="shared" ca="1" si="83"/>
        <v>0</v>
      </c>
      <c r="BE52" s="41">
        <f t="shared" ca="1" si="83"/>
        <v>0</v>
      </c>
      <c r="BF52" s="41">
        <f t="shared" ca="1" si="83"/>
        <v>0</v>
      </c>
      <c r="BG52" s="41">
        <f t="shared" ca="1" si="83"/>
        <v>0</v>
      </c>
      <c r="BH52" s="44">
        <f t="shared" ref="BH52:BH67" ca="1" si="86">IF(BH$35/$I52=1,OFFSET($J$30,1,$I52),IF((BH$35-1)/$I52=1,OFFSET($J$30,2,$I52),IF((BH$35-2)/$I52=1,OFFSET($J$30,3,$I52),0)))</f>
        <v>0</v>
      </c>
    </row>
    <row r="53" spans="1:60" x14ac:dyDescent="0.25">
      <c r="H53" s="11"/>
      <c r="I53" s="1">
        <v>18</v>
      </c>
      <c r="J53" s="18">
        <f t="shared" ca="1" si="84"/>
        <v>0</v>
      </c>
      <c r="K53" s="16">
        <f t="shared" ca="1" si="84"/>
        <v>0</v>
      </c>
      <c r="L53" s="16">
        <f t="shared" ca="1" si="84"/>
        <v>0</v>
      </c>
      <c r="M53" s="16">
        <f t="shared" ca="1" si="84"/>
        <v>0</v>
      </c>
      <c r="N53" s="16">
        <f t="shared" ca="1" si="84"/>
        <v>0</v>
      </c>
      <c r="O53" s="16">
        <f t="shared" ca="1" si="84"/>
        <v>0</v>
      </c>
      <c r="P53" s="16">
        <f t="shared" ca="1" si="84"/>
        <v>0</v>
      </c>
      <c r="Q53" s="16">
        <f t="shared" ca="1" si="84"/>
        <v>0</v>
      </c>
      <c r="R53" s="16">
        <f t="shared" ca="1" si="84"/>
        <v>0</v>
      </c>
      <c r="S53" s="16">
        <f t="shared" ca="1" si="84"/>
        <v>0</v>
      </c>
      <c r="T53" s="16">
        <f t="shared" ca="1" si="85"/>
        <v>0</v>
      </c>
      <c r="U53" s="16">
        <f t="shared" ca="1" si="85"/>
        <v>0</v>
      </c>
      <c r="V53" s="16">
        <f t="shared" ca="1" si="85"/>
        <v>0</v>
      </c>
      <c r="W53" s="16">
        <f t="shared" ca="1" si="85"/>
        <v>0</v>
      </c>
      <c r="X53" s="16">
        <f t="shared" ca="1" si="85"/>
        <v>0</v>
      </c>
      <c r="Y53" s="16">
        <f t="shared" ca="1" si="85"/>
        <v>0</v>
      </c>
      <c r="Z53" s="16">
        <f t="shared" ca="1" si="85"/>
        <v>0</v>
      </c>
      <c r="AA53" s="16">
        <f t="shared" ca="1" si="85"/>
        <v>-0.14606095827254795</v>
      </c>
      <c r="AB53" s="16">
        <f t="shared" ca="1" si="85"/>
        <v>1.2921489850382466</v>
      </c>
      <c r="AC53" s="16">
        <f t="shared" ca="1" si="85"/>
        <v>-0.14606095827254795</v>
      </c>
      <c r="AD53" s="41">
        <f t="shared" ca="1" si="83"/>
        <v>0</v>
      </c>
      <c r="AE53" s="41">
        <f t="shared" ca="1" si="83"/>
        <v>0</v>
      </c>
      <c r="AF53" s="41">
        <f t="shared" ca="1" si="83"/>
        <v>0</v>
      </c>
      <c r="AG53" s="41">
        <f t="shared" ca="1" si="83"/>
        <v>0</v>
      </c>
      <c r="AH53" s="41">
        <f t="shared" ca="1" si="83"/>
        <v>0</v>
      </c>
      <c r="AI53" s="41">
        <f t="shared" ca="1" si="83"/>
        <v>0</v>
      </c>
      <c r="AJ53" s="41">
        <f t="shared" ca="1" si="83"/>
        <v>0</v>
      </c>
      <c r="AK53" s="41">
        <f t="shared" ca="1" si="83"/>
        <v>0</v>
      </c>
      <c r="AL53" s="41">
        <f t="shared" ca="1" si="83"/>
        <v>0</v>
      </c>
      <c r="AM53" s="41">
        <f t="shared" ca="1" si="83"/>
        <v>0</v>
      </c>
      <c r="AN53" s="41">
        <f t="shared" ca="1" si="83"/>
        <v>0</v>
      </c>
      <c r="AO53" s="41">
        <f t="shared" ca="1" si="83"/>
        <v>0</v>
      </c>
      <c r="AP53" s="41">
        <f t="shared" ref="AD53:BG61" ca="1" si="87">IF(AP$35/$I53=1,OFFSET($J$30,1,$I53),IF((AP$35-1)/$I53=1,OFFSET($J$30,2,$I53),IF((AP$35-2)/$I53=1,OFFSET($J$30,3,$I53),0)))</f>
        <v>0</v>
      </c>
      <c r="AQ53" s="41">
        <f t="shared" ca="1" si="87"/>
        <v>0</v>
      </c>
      <c r="AR53" s="41">
        <f t="shared" ca="1" si="87"/>
        <v>0</v>
      </c>
      <c r="AS53" s="41">
        <f t="shared" ca="1" si="87"/>
        <v>0</v>
      </c>
      <c r="AT53" s="41">
        <f t="shared" ca="1" si="87"/>
        <v>0</v>
      </c>
      <c r="AU53" s="41">
        <f t="shared" ca="1" si="87"/>
        <v>0</v>
      </c>
      <c r="AV53" s="41">
        <f t="shared" ca="1" si="87"/>
        <v>0</v>
      </c>
      <c r="AW53" s="41">
        <f t="shared" ca="1" si="87"/>
        <v>0</v>
      </c>
      <c r="AX53" s="41">
        <f t="shared" ca="1" si="87"/>
        <v>0</v>
      </c>
      <c r="AY53" s="41">
        <f t="shared" ca="1" si="87"/>
        <v>0</v>
      </c>
      <c r="AZ53" s="41">
        <f t="shared" ca="1" si="87"/>
        <v>0</v>
      </c>
      <c r="BA53" s="41">
        <f t="shared" ca="1" si="87"/>
        <v>0</v>
      </c>
      <c r="BB53" s="41">
        <f t="shared" ca="1" si="87"/>
        <v>0</v>
      </c>
      <c r="BC53" s="41">
        <f t="shared" ca="1" si="87"/>
        <v>0</v>
      </c>
      <c r="BD53" s="41">
        <f t="shared" ca="1" si="87"/>
        <v>0</v>
      </c>
      <c r="BE53" s="41">
        <f t="shared" ca="1" si="87"/>
        <v>0</v>
      </c>
      <c r="BF53" s="41">
        <f t="shared" ca="1" si="87"/>
        <v>0</v>
      </c>
      <c r="BG53" s="41">
        <f t="shared" ca="1" si="87"/>
        <v>0</v>
      </c>
      <c r="BH53" s="44">
        <f t="shared" ca="1" si="86"/>
        <v>0</v>
      </c>
    </row>
    <row r="54" spans="1:60" x14ac:dyDescent="0.25">
      <c r="H54" s="11"/>
      <c r="I54" s="1">
        <v>19</v>
      </c>
      <c r="J54" s="18">
        <f ca="1">IF(J$35/$I54=1,OFFSET($J$30,1,$I54),IF((J$35-1)/$I54=1,OFFSET($J$30,2,$I54),IF((J$35-2)/$I54=1,OFFSET($J$30,3,$I54),0)))</f>
        <v>0</v>
      </c>
      <c r="K54" s="16">
        <f t="shared" ca="1" si="84"/>
        <v>0</v>
      </c>
      <c r="L54" s="16">
        <f t="shared" ca="1" si="84"/>
        <v>0</v>
      </c>
      <c r="M54" s="16">
        <f t="shared" ca="1" si="84"/>
        <v>0</v>
      </c>
      <c r="N54" s="16">
        <f t="shared" ca="1" si="84"/>
        <v>0</v>
      </c>
      <c r="O54" s="16">
        <f t="shared" ca="1" si="84"/>
        <v>0</v>
      </c>
      <c r="P54" s="16">
        <f t="shared" ca="1" si="84"/>
        <v>0</v>
      </c>
      <c r="Q54" s="16">
        <f t="shared" ca="1" si="84"/>
        <v>0</v>
      </c>
      <c r="R54" s="16">
        <f t="shared" ca="1" si="84"/>
        <v>0</v>
      </c>
      <c r="S54" s="16">
        <f t="shared" ca="1" si="84"/>
        <v>0</v>
      </c>
      <c r="T54" s="16">
        <f t="shared" ca="1" si="85"/>
        <v>0</v>
      </c>
      <c r="U54" s="16">
        <f t="shared" ca="1" si="85"/>
        <v>0</v>
      </c>
      <c r="V54" s="16">
        <f t="shared" ca="1" si="85"/>
        <v>0</v>
      </c>
      <c r="W54" s="16">
        <f t="shared" ca="1" si="85"/>
        <v>0</v>
      </c>
      <c r="X54" s="16">
        <f t="shared" ca="1" si="85"/>
        <v>0</v>
      </c>
      <c r="Y54" s="16">
        <f t="shared" ca="1" si="85"/>
        <v>0</v>
      </c>
      <c r="Z54" s="16">
        <f t="shared" ca="1" si="85"/>
        <v>0</v>
      </c>
      <c r="AA54" s="16">
        <f t="shared" ca="1" si="85"/>
        <v>0</v>
      </c>
      <c r="AB54" s="16">
        <f t="shared" ca="1" si="85"/>
        <v>-0.16274075906293148</v>
      </c>
      <c r="AC54" s="16">
        <f ca="1">IF(AC$35/$I54=1,OFFSET($J$30,1,$I54),IF((AC$35-1)/$I54=1,OFFSET($J$30,2,$I54),IF((AC$35-2)/$I54=1,OFFSET($J$30,3,$I54),0)))</f>
        <v>1.3255085866190137</v>
      </c>
      <c r="AD54" s="41">
        <f ca="1">IF(AD$35/$I54=1,OFFSET($J$30,1,$I54),IF((AD$35-1)/$I54=1,OFFSET($J$30,2,$I54),IF((AD$35-2)/$I54=1,OFFSET($J$30,3,$I54),0)))</f>
        <v>-0.16274075906293148</v>
      </c>
      <c r="AE54" s="41">
        <f t="shared" ca="1" si="87"/>
        <v>0</v>
      </c>
      <c r="AF54" s="41">
        <f t="shared" ca="1" si="87"/>
        <v>0</v>
      </c>
      <c r="AG54" s="41">
        <f t="shared" ca="1" si="87"/>
        <v>0</v>
      </c>
      <c r="AH54" s="41">
        <f t="shared" ca="1" si="87"/>
        <v>0</v>
      </c>
      <c r="AI54" s="41">
        <f t="shared" ca="1" si="87"/>
        <v>0</v>
      </c>
      <c r="AJ54" s="41">
        <f t="shared" ca="1" si="87"/>
        <v>0</v>
      </c>
      <c r="AK54" s="41">
        <f t="shared" ca="1" si="87"/>
        <v>0</v>
      </c>
      <c r="AL54" s="41">
        <f t="shared" ca="1" si="87"/>
        <v>0</v>
      </c>
      <c r="AM54" s="41">
        <f t="shared" ca="1" si="87"/>
        <v>0</v>
      </c>
      <c r="AN54" s="41">
        <f t="shared" ca="1" si="87"/>
        <v>0</v>
      </c>
      <c r="AO54" s="41">
        <f t="shared" ca="1" si="87"/>
        <v>0</v>
      </c>
      <c r="AP54" s="41">
        <f t="shared" ca="1" si="87"/>
        <v>0</v>
      </c>
      <c r="AQ54" s="41">
        <f t="shared" ca="1" si="87"/>
        <v>0</v>
      </c>
      <c r="AR54" s="41">
        <f t="shared" ca="1" si="87"/>
        <v>0</v>
      </c>
      <c r="AS54" s="41">
        <f t="shared" ca="1" si="87"/>
        <v>0</v>
      </c>
      <c r="AT54" s="41">
        <f t="shared" ca="1" si="87"/>
        <v>0</v>
      </c>
      <c r="AU54" s="41">
        <f t="shared" ca="1" si="87"/>
        <v>0</v>
      </c>
      <c r="AV54" s="41">
        <f t="shared" ca="1" si="87"/>
        <v>0</v>
      </c>
      <c r="AW54" s="41">
        <f t="shared" ca="1" si="87"/>
        <v>0</v>
      </c>
      <c r="AX54" s="41">
        <f t="shared" ca="1" si="87"/>
        <v>0</v>
      </c>
      <c r="AY54" s="41">
        <f t="shared" ca="1" si="87"/>
        <v>0</v>
      </c>
      <c r="AZ54" s="41">
        <f t="shared" ca="1" si="87"/>
        <v>0</v>
      </c>
      <c r="BA54" s="41">
        <f t="shared" ca="1" si="87"/>
        <v>0</v>
      </c>
      <c r="BB54" s="41">
        <f t="shared" ca="1" si="87"/>
        <v>0</v>
      </c>
      <c r="BC54" s="41">
        <f t="shared" ca="1" si="87"/>
        <v>0</v>
      </c>
      <c r="BD54" s="41">
        <f t="shared" ca="1" si="87"/>
        <v>0</v>
      </c>
      <c r="BE54" s="41">
        <f t="shared" ca="1" si="87"/>
        <v>0</v>
      </c>
      <c r="BF54" s="41">
        <f t="shared" ca="1" si="87"/>
        <v>0</v>
      </c>
      <c r="BG54" s="41">
        <f t="shared" ca="1" si="87"/>
        <v>0</v>
      </c>
      <c r="BH54" s="44">
        <f t="shared" ca="1" si="86"/>
        <v>0</v>
      </c>
    </row>
    <row r="55" spans="1:60" s="49" customFormat="1" x14ac:dyDescent="0.25">
      <c r="A55" s="26"/>
      <c r="H55" s="36"/>
      <c r="I55" s="26">
        <f>I54+1</f>
        <v>20</v>
      </c>
      <c r="J55" s="44">
        <f t="shared" ref="J55:Y84" ca="1" si="88">IF(J$35/$I55=1,OFFSET($J$30,1,$I55),IF((J$35-1)/$I55=1,OFFSET($J$30,2,$I55),IF((J$35-2)/$I55=1,OFFSET($J$30,3,$I55),0)))</f>
        <v>0</v>
      </c>
      <c r="K55" s="41">
        <f t="shared" ca="1" si="84"/>
        <v>0</v>
      </c>
      <c r="L55" s="41">
        <f t="shared" ca="1" si="84"/>
        <v>0</v>
      </c>
      <c r="M55" s="41">
        <f t="shared" ca="1" si="84"/>
        <v>0</v>
      </c>
      <c r="N55" s="41">
        <f t="shared" ca="1" si="84"/>
        <v>0</v>
      </c>
      <c r="O55" s="41">
        <f t="shared" ca="1" si="84"/>
        <v>0</v>
      </c>
      <c r="P55" s="41">
        <f t="shared" ca="1" si="84"/>
        <v>0</v>
      </c>
      <c r="Q55" s="41">
        <f t="shared" ca="1" si="84"/>
        <v>0</v>
      </c>
      <c r="R55" s="41">
        <f t="shared" ca="1" si="84"/>
        <v>0</v>
      </c>
      <c r="S55" s="41">
        <f t="shared" ca="1" si="84"/>
        <v>0</v>
      </c>
      <c r="T55" s="41">
        <f t="shared" ca="1" si="85"/>
        <v>0</v>
      </c>
      <c r="U55" s="41">
        <f t="shared" ca="1" si="85"/>
        <v>0</v>
      </c>
      <c r="V55" s="41">
        <f t="shared" ca="1" si="85"/>
        <v>0</v>
      </c>
      <c r="W55" s="41">
        <f t="shared" ca="1" si="85"/>
        <v>0</v>
      </c>
      <c r="X55" s="41">
        <f t="shared" ca="1" si="85"/>
        <v>0</v>
      </c>
      <c r="Y55" s="41">
        <f t="shared" ca="1" si="85"/>
        <v>0</v>
      </c>
      <c r="Z55" s="41">
        <f t="shared" ca="1" si="85"/>
        <v>0</v>
      </c>
      <c r="AA55" s="41">
        <f t="shared" ca="1" si="85"/>
        <v>0</v>
      </c>
      <c r="AB55" s="41">
        <f t="shared" ca="1" si="85"/>
        <v>0</v>
      </c>
      <c r="AC55" s="41">
        <f t="shared" ca="1" si="85"/>
        <v>-0.18032217070684931</v>
      </c>
      <c r="AD55" s="41">
        <f t="shared" ca="1" si="87"/>
        <v>1.3606714099068493</v>
      </c>
      <c r="AE55" s="41">
        <f t="shared" ca="1" si="87"/>
        <v>-0.18032217070684931</v>
      </c>
      <c r="AF55" s="41">
        <f t="shared" ca="1" si="87"/>
        <v>0</v>
      </c>
      <c r="AG55" s="41">
        <f t="shared" ca="1" si="87"/>
        <v>0</v>
      </c>
      <c r="AH55" s="41">
        <f t="shared" ca="1" si="87"/>
        <v>0</v>
      </c>
      <c r="AI55" s="41">
        <f t="shared" ca="1" si="87"/>
        <v>0</v>
      </c>
      <c r="AJ55" s="41">
        <f t="shared" ca="1" si="87"/>
        <v>0</v>
      </c>
      <c r="AK55" s="41">
        <f t="shared" ca="1" si="87"/>
        <v>0</v>
      </c>
      <c r="AL55" s="41">
        <f t="shared" ca="1" si="87"/>
        <v>0</v>
      </c>
      <c r="AM55" s="41">
        <f t="shared" ca="1" si="87"/>
        <v>0</v>
      </c>
      <c r="AN55" s="41">
        <f t="shared" ca="1" si="87"/>
        <v>0</v>
      </c>
      <c r="AO55" s="41">
        <f t="shared" ca="1" si="87"/>
        <v>0</v>
      </c>
      <c r="AP55" s="41">
        <f t="shared" ca="1" si="87"/>
        <v>0</v>
      </c>
      <c r="AQ55" s="41">
        <f t="shared" ca="1" si="87"/>
        <v>0</v>
      </c>
      <c r="AR55" s="41">
        <f t="shared" ca="1" si="87"/>
        <v>0</v>
      </c>
      <c r="AS55" s="41">
        <f t="shared" ca="1" si="87"/>
        <v>0</v>
      </c>
      <c r="AT55" s="41">
        <f t="shared" ca="1" si="87"/>
        <v>0</v>
      </c>
      <c r="AU55" s="41">
        <f t="shared" ca="1" si="87"/>
        <v>0</v>
      </c>
      <c r="AV55" s="41">
        <f t="shared" ca="1" si="87"/>
        <v>0</v>
      </c>
      <c r="AW55" s="41">
        <f t="shared" ca="1" si="87"/>
        <v>0</v>
      </c>
      <c r="AX55" s="41">
        <f t="shared" ca="1" si="87"/>
        <v>0</v>
      </c>
      <c r="AY55" s="41">
        <f t="shared" ca="1" si="87"/>
        <v>0</v>
      </c>
      <c r="AZ55" s="41">
        <f t="shared" ca="1" si="87"/>
        <v>0</v>
      </c>
      <c r="BA55" s="41">
        <f t="shared" ca="1" si="87"/>
        <v>0</v>
      </c>
      <c r="BB55" s="41">
        <f t="shared" ca="1" si="87"/>
        <v>0</v>
      </c>
      <c r="BC55" s="41">
        <f t="shared" ca="1" si="87"/>
        <v>0</v>
      </c>
      <c r="BD55" s="41">
        <f t="shared" ca="1" si="87"/>
        <v>0</v>
      </c>
      <c r="BE55" s="41">
        <f t="shared" ca="1" si="87"/>
        <v>0</v>
      </c>
      <c r="BF55" s="41">
        <f t="shared" ca="1" si="87"/>
        <v>0</v>
      </c>
      <c r="BG55" s="41">
        <f t="shared" ca="1" si="87"/>
        <v>0</v>
      </c>
      <c r="BH55" s="44">
        <f t="shared" ca="1" si="86"/>
        <v>0</v>
      </c>
    </row>
    <row r="56" spans="1:60" s="49" customFormat="1" x14ac:dyDescent="0.25">
      <c r="A56" s="26"/>
      <c r="H56" s="36"/>
      <c r="I56" s="26">
        <f t="shared" ref="I56:I84" si="89">I55+1</f>
        <v>21</v>
      </c>
      <c r="J56" s="44">
        <f t="shared" ca="1" si="88"/>
        <v>0</v>
      </c>
      <c r="K56" s="41">
        <f t="shared" ca="1" si="84"/>
        <v>0</v>
      </c>
      <c r="L56" s="41">
        <f t="shared" ca="1" si="84"/>
        <v>0</v>
      </c>
      <c r="M56" s="41">
        <f t="shared" ca="1" si="84"/>
        <v>0</v>
      </c>
      <c r="N56" s="41">
        <f t="shared" ca="1" si="84"/>
        <v>0</v>
      </c>
      <c r="O56" s="41">
        <f t="shared" ca="1" si="84"/>
        <v>0</v>
      </c>
      <c r="P56" s="41">
        <f t="shared" ca="1" si="84"/>
        <v>0</v>
      </c>
      <c r="Q56" s="41">
        <f t="shared" ca="1" si="84"/>
        <v>0</v>
      </c>
      <c r="R56" s="41">
        <f t="shared" ca="1" si="84"/>
        <v>0</v>
      </c>
      <c r="S56" s="41">
        <f t="shared" ca="1" si="84"/>
        <v>0</v>
      </c>
      <c r="T56" s="41">
        <f t="shared" ca="1" si="85"/>
        <v>0</v>
      </c>
      <c r="U56" s="41">
        <f t="shared" ca="1" si="85"/>
        <v>0</v>
      </c>
      <c r="V56" s="41">
        <f t="shared" ca="1" si="85"/>
        <v>0</v>
      </c>
      <c r="W56" s="41">
        <f t="shared" ca="1" si="85"/>
        <v>0</v>
      </c>
      <c r="X56" s="41">
        <f t="shared" ca="1" si="85"/>
        <v>0</v>
      </c>
      <c r="Y56" s="41">
        <f t="shared" ca="1" si="85"/>
        <v>0</v>
      </c>
      <c r="Z56" s="41">
        <f t="shared" ca="1" si="85"/>
        <v>0</v>
      </c>
      <c r="AA56" s="41">
        <f t="shared" ca="1" si="85"/>
        <v>0</v>
      </c>
      <c r="AB56" s="41">
        <f t="shared" ca="1" si="85"/>
        <v>0</v>
      </c>
      <c r="AC56" s="41">
        <f t="shared" ca="1" si="85"/>
        <v>0</v>
      </c>
      <c r="AD56" s="41">
        <f t="shared" ca="1" si="87"/>
        <v>-0.19880519320430137</v>
      </c>
      <c r="AE56" s="41">
        <f t="shared" ca="1" si="87"/>
        <v>1.3976374549017534</v>
      </c>
      <c r="AF56" s="41">
        <f t="shared" ca="1" si="87"/>
        <v>-0.19880519320430137</v>
      </c>
      <c r="AG56" s="41">
        <f t="shared" ca="1" si="87"/>
        <v>0</v>
      </c>
      <c r="AH56" s="41">
        <f t="shared" ca="1" si="87"/>
        <v>0</v>
      </c>
      <c r="AI56" s="41">
        <f t="shared" ca="1" si="87"/>
        <v>0</v>
      </c>
      <c r="AJ56" s="41">
        <f t="shared" ca="1" si="87"/>
        <v>0</v>
      </c>
      <c r="AK56" s="41">
        <f t="shared" ca="1" si="87"/>
        <v>0</v>
      </c>
      <c r="AL56" s="41">
        <f t="shared" ca="1" si="87"/>
        <v>0</v>
      </c>
      <c r="AM56" s="41">
        <f t="shared" ca="1" si="87"/>
        <v>0</v>
      </c>
      <c r="AN56" s="41">
        <f t="shared" ca="1" si="87"/>
        <v>0</v>
      </c>
      <c r="AO56" s="41">
        <f t="shared" ca="1" si="87"/>
        <v>0</v>
      </c>
      <c r="AP56" s="41">
        <f t="shared" ca="1" si="87"/>
        <v>0</v>
      </c>
      <c r="AQ56" s="41">
        <f t="shared" ca="1" si="87"/>
        <v>0</v>
      </c>
      <c r="AR56" s="41">
        <f t="shared" ca="1" si="87"/>
        <v>0</v>
      </c>
      <c r="AS56" s="41">
        <f t="shared" ca="1" si="87"/>
        <v>0</v>
      </c>
      <c r="AT56" s="41">
        <f t="shared" ca="1" si="87"/>
        <v>0</v>
      </c>
      <c r="AU56" s="41">
        <f t="shared" ca="1" si="87"/>
        <v>0</v>
      </c>
      <c r="AV56" s="41">
        <f t="shared" ca="1" si="87"/>
        <v>0</v>
      </c>
      <c r="AW56" s="41">
        <f t="shared" ca="1" si="87"/>
        <v>0</v>
      </c>
      <c r="AX56" s="41">
        <f t="shared" ca="1" si="87"/>
        <v>0</v>
      </c>
      <c r="AY56" s="41">
        <f t="shared" ca="1" si="87"/>
        <v>0</v>
      </c>
      <c r="AZ56" s="41">
        <f t="shared" ca="1" si="87"/>
        <v>0</v>
      </c>
      <c r="BA56" s="41">
        <f t="shared" ca="1" si="87"/>
        <v>0</v>
      </c>
      <c r="BB56" s="41">
        <f t="shared" ca="1" si="87"/>
        <v>0</v>
      </c>
      <c r="BC56" s="41">
        <f t="shared" ca="1" si="87"/>
        <v>0</v>
      </c>
      <c r="BD56" s="41">
        <f t="shared" ca="1" si="87"/>
        <v>0</v>
      </c>
      <c r="BE56" s="41">
        <f t="shared" ca="1" si="87"/>
        <v>0</v>
      </c>
      <c r="BF56" s="41">
        <f t="shared" ca="1" si="87"/>
        <v>0</v>
      </c>
      <c r="BG56" s="41">
        <f t="shared" ca="1" si="87"/>
        <v>0</v>
      </c>
      <c r="BH56" s="44">
        <f t="shared" ca="1" si="86"/>
        <v>0</v>
      </c>
    </row>
    <row r="57" spans="1:60" s="49" customFormat="1" x14ac:dyDescent="0.25">
      <c r="A57" s="26"/>
      <c r="H57" s="36"/>
      <c r="I57" s="26">
        <f t="shared" si="89"/>
        <v>22</v>
      </c>
      <c r="J57" s="44">
        <f t="shared" ca="1" si="88"/>
        <v>0</v>
      </c>
      <c r="K57" s="41">
        <f t="shared" ca="1" si="84"/>
        <v>0</v>
      </c>
      <c r="L57" s="41">
        <f t="shared" ca="1" si="84"/>
        <v>0</v>
      </c>
      <c r="M57" s="41">
        <f t="shared" ca="1" si="84"/>
        <v>0</v>
      </c>
      <c r="N57" s="41">
        <f t="shared" ca="1" si="84"/>
        <v>0</v>
      </c>
      <c r="O57" s="41">
        <f t="shared" ca="1" si="84"/>
        <v>0</v>
      </c>
      <c r="P57" s="41">
        <f t="shared" ca="1" si="84"/>
        <v>0</v>
      </c>
      <c r="Q57" s="41">
        <f t="shared" ca="1" si="84"/>
        <v>0</v>
      </c>
      <c r="R57" s="41">
        <f t="shared" ca="1" si="84"/>
        <v>0</v>
      </c>
      <c r="S57" s="41">
        <f t="shared" ca="1" si="84"/>
        <v>0</v>
      </c>
      <c r="T57" s="41">
        <f t="shared" ca="1" si="85"/>
        <v>0</v>
      </c>
      <c r="U57" s="41">
        <f t="shared" ca="1" si="85"/>
        <v>0</v>
      </c>
      <c r="V57" s="41">
        <f t="shared" ca="1" si="85"/>
        <v>0</v>
      </c>
      <c r="W57" s="41">
        <f t="shared" ca="1" si="85"/>
        <v>0</v>
      </c>
      <c r="X57" s="41">
        <f t="shared" ca="1" si="85"/>
        <v>0</v>
      </c>
      <c r="Y57" s="41">
        <f t="shared" ca="1" si="85"/>
        <v>0</v>
      </c>
      <c r="Z57" s="41">
        <f t="shared" ca="1" si="85"/>
        <v>0</v>
      </c>
      <c r="AA57" s="41">
        <f t="shared" ca="1" si="85"/>
        <v>0</v>
      </c>
      <c r="AB57" s="41">
        <f t="shared" ca="1" si="85"/>
        <v>0</v>
      </c>
      <c r="AC57" s="41">
        <f t="shared" ca="1" si="85"/>
        <v>0</v>
      </c>
      <c r="AD57" s="41">
        <f t="shared" ca="1" si="87"/>
        <v>0</v>
      </c>
      <c r="AE57" s="41">
        <f t="shared" ca="1" si="87"/>
        <v>-0.21818982655528762</v>
      </c>
      <c r="AF57" s="41">
        <f t="shared" ca="1" si="87"/>
        <v>1.436406721603726</v>
      </c>
      <c r="AG57" s="41">
        <f t="shared" ca="1" si="87"/>
        <v>-0.21818982655528762</v>
      </c>
      <c r="AH57" s="41">
        <f t="shared" ca="1" si="87"/>
        <v>0</v>
      </c>
      <c r="AI57" s="41">
        <f t="shared" ca="1" si="87"/>
        <v>0</v>
      </c>
      <c r="AJ57" s="41">
        <f t="shared" ca="1" si="87"/>
        <v>0</v>
      </c>
      <c r="AK57" s="41">
        <f t="shared" ca="1" si="87"/>
        <v>0</v>
      </c>
      <c r="AL57" s="41">
        <f t="shared" ca="1" si="87"/>
        <v>0</v>
      </c>
      <c r="AM57" s="41">
        <f t="shared" ca="1" si="87"/>
        <v>0</v>
      </c>
      <c r="AN57" s="41">
        <f t="shared" ca="1" si="87"/>
        <v>0</v>
      </c>
      <c r="AO57" s="41">
        <f t="shared" ca="1" si="87"/>
        <v>0</v>
      </c>
      <c r="AP57" s="41">
        <f t="shared" ca="1" si="87"/>
        <v>0</v>
      </c>
      <c r="AQ57" s="41">
        <f t="shared" ca="1" si="87"/>
        <v>0</v>
      </c>
      <c r="AR57" s="41">
        <f t="shared" ca="1" si="87"/>
        <v>0</v>
      </c>
      <c r="AS57" s="41">
        <f t="shared" ca="1" si="87"/>
        <v>0</v>
      </c>
      <c r="AT57" s="41">
        <f t="shared" ca="1" si="87"/>
        <v>0</v>
      </c>
      <c r="AU57" s="41">
        <f t="shared" ca="1" si="87"/>
        <v>0</v>
      </c>
      <c r="AV57" s="41">
        <f t="shared" ca="1" si="87"/>
        <v>0</v>
      </c>
      <c r="AW57" s="41">
        <f t="shared" ca="1" si="87"/>
        <v>0</v>
      </c>
      <c r="AX57" s="41">
        <f t="shared" ca="1" si="87"/>
        <v>0</v>
      </c>
      <c r="AY57" s="41">
        <f t="shared" ca="1" si="87"/>
        <v>0</v>
      </c>
      <c r="AZ57" s="41">
        <f t="shared" ca="1" si="87"/>
        <v>0</v>
      </c>
      <c r="BA57" s="41">
        <f t="shared" ca="1" si="87"/>
        <v>0</v>
      </c>
      <c r="BB57" s="41">
        <f t="shared" ca="1" si="87"/>
        <v>0</v>
      </c>
      <c r="BC57" s="41">
        <f t="shared" ca="1" si="87"/>
        <v>0</v>
      </c>
      <c r="BD57" s="41">
        <f t="shared" ca="1" si="87"/>
        <v>0</v>
      </c>
      <c r="BE57" s="41">
        <f t="shared" ca="1" si="87"/>
        <v>0</v>
      </c>
      <c r="BF57" s="41">
        <f t="shared" ca="1" si="87"/>
        <v>0</v>
      </c>
      <c r="BG57" s="41">
        <f t="shared" ca="1" si="87"/>
        <v>0</v>
      </c>
      <c r="BH57" s="44">
        <f t="shared" ca="1" si="86"/>
        <v>0</v>
      </c>
    </row>
    <row r="58" spans="1:60" s="49" customFormat="1" x14ac:dyDescent="0.25">
      <c r="A58" s="26"/>
      <c r="H58" s="36"/>
      <c r="I58" s="26">
        <f t="shared" si="89"/>
        <v>23</v>
      </c>
      <c r="J58" s="44">
        <f t="shared" ca="1" si="88"/>
        <v>0</v>
      </c>
      <c r="K58" s="41">
        <f t="shared" ca="1" si="84"/>
        <v>0</v>
      </c>
      <c r="L58" s="41">
        <f t="shared" ca="1" si="84"/>
        <v>0</v>
      </c>
      <c r="M58" s="41">
        <f t="shared" ca="1" si="84"/>
        <v>0</v>
      </c>
      <c r="N58" s="41">
        <f t="shared" ca="1" si="84"/>
        <v>0</v>
      </c>
      <c r="O58" s="41">
        <f t="shared" ca="1" si="84"/>
        <v>0</v>
      </c>
      <c r="P58" s="41">
        <f t="shared" ca="1" si="84"/>
        <v>0</v>
      </c>
      <c r="Q58" s="41">
        <f t="shared" ca="1" si="84"/>
        <v>0</v>
      </c>
      <c r="R58" s="41">
        <f t="shared" ca="1" si="84"/>
        <v>0</v>
      </c>
      <c r="S58" s="41">
        <f t="shared" ca="1" si="84"/>
        <v>0</v>
      </c>
      <c r="T58" s="41">
        <f t="shared" ca="1" si="85"/>
        <v>0</v>
      </c>
      <c r="U58" s="41">
        <f t="shared" ca="1" si="85"/>
        <v>0</v>
      </c>
      <c r="V58" s="41">
        <f t="shared" ca="1" si="85"/>
        <v>0</v>
      </c>
      <c r="W58" s="41">
        <f t="shared" ca="1" si="85"/>
        <v>0</v>
      </c>
      <c r="X58" s="41">
        <f t="shared" ca="1" si="85"/>
        <v>0</v>
      </c>
      <c r="Y58" s="41">
        <f t="shared" ca="1" si="85"/>
        <v>0</v>
      </c>
      <c r="Z58" s="41">
        <f t="shared" ca="1" si="85"/>
        <v>0</v>
      </c>
      <c r="AA58" s="41">
        <f t="shared" ca="1" si="85"/>
        <v>0</v>
      </c>
      <c r="AB58" s="41">
        <f t="shared" ca="1" si="85"/>
        <v>0</v>
      </c>
      <c r="AC58" s="41">
        <f t="shared" ca="1" si="85"/>
        <v>0</v>
      </c>
      <c r="AD58" s="41">
        <f t="shared" ca="1" si="87"/>
        <v>0</v>
      </c>
      <c r="AE58" s="41">
        <f t="shared" ca="1" si="87"/>
        <v>0</v>
      </c>
      <c r="AF58" s="41">
        <f t="shared" ca="1" si="87"/>
        <v>-0.2384760707598082</v>
      </c>
      <c r="AG58" s="41">
        <f t="shared" ca="1" si="87"/>
        <v>1.476979210012767</v>
      </c>
      <c r="AH58" s="41">
        <f t="shared" ca="1" si="87"/>
        <v>-0.2384760707598082</v>
      </c>
      <c r="AI58" s="41">
        <f t="shared" ca="1" si="87"/>
        <v>0</v>
      </c>
      <c r="AJ58" s="41">
        <f t="shared" ca="1" si="87"/>
        <v>0</v>
      </c>
      <c r="AK58" s="41">
        <f t="shared" ca="1" si="87"/>
        <v>0</v>
      </c>
      <c r="AL58" s="41">
        <f t="shared" ca="1" si="87"/>
        <v>0</v>
      </c>
      <c r="AM58" s="41">
        <f t="shared" ca="1" si="87"/>
        <v>0</v>
      </c>
      <c r="AN58" s="41">
        <f t="shared" ca="1" si="87"/>
        <v>0</v>
      </c>
      <c r="AO58" s="41">
        <f t="shared" ca="1" si="87"/>
        <v>0</v>
      </c>
      <c r="AP58" s="41">
        <f t="shared" ca="1" si="87"/>
        <v>0</v>
      </c>
      <c r="AQ58" s="41">
        <f t="shared" ca="1" si="87"/>
        <v>0</v>
      </c>
      <c r="AR58" s="41">
        <f t="shared" ca="1" si="87"/>
        <v>0</v>
      </c>
      <c r="AS58" s="41">
        <f t="shared" ca="1" si="87"/>
        <v>0</v>
      </c>
      <c r="AT58" s="41">
        <f t="shared" ca="1" si="87"/>
        <v>0</v>
      </c>
      <c r="AU58" s="41">
        <f t="shared" ca="1" si="87"/>
        <v>0</v>
      </c>
      <c r="AV58" s="41">
        <f t="shared" ca="1" si="87"/>
        <v>0</v>
      </c>
      <c r="AW58" s="41">
        <f t="shared" ca="1" si="87"/>
        <v>0</v>
      </c>
      <c r="AX58" s="41">
        <f t="shared" ca="1" si="87"/>
        <v>0</v>
      </c>
      <c r="AY58" s="41">
        <f t="shared" ca="1" si="87"/>
        <v>0</v>
      </c>
      <c r="AZ58" s="41">
        <f t="shared" ca="1" si="87"/>
        <v>0</v>
      </c>
      <c r="BA58" s="41">
        <f t="shared" ca="1" si="87"/>
        <v>0</v>
      </c>
      <c r="BB58" s="41">
        <f t="shared" ca="1" si="87"/>
        <v>0</v>
      </c>
      <c r="BC58" s="41">
        <f t="shared" ca="1" si="87"/>
        <v>0</v>
      </c>
      <c r="BD58" s="41">
        <f t="shared" ca="1" si="87"/>
        <v>0</v>
      </c>
      <c r="BE58" s="41">
        <f t="shared" ca="1" si="87"/>
        <v>0</v>
      </c>
      <c r="BF58" s="41">
        <f t="shared" ca="1" si="87"/>
        <v>0</v>
      </c>
      <c r="BG58" s="41">
        <f t="shared" ca="1" si="87"/>
        <v>0</v>
      </c>
      <c r="BH58" s="44">
        <f t="shared" ca="1" si="86"/>
        <v>0</v>
      </c>
    </row>
    <row r="59" spans="1:60" s="49" customFormat="1" x14ac:dyDescent="0.25">
      <c r="A59" s="26"/>
      <c r="H59" s="36"/>
      <c r="I59" s="26">
        <f t="shared" si="89"/>
        <v>24</v>
      </c>
      <c r="J59" s="44">
        <f t="shared" ca="1" si="88"/>
        <v>0</v>
      </c>
      <c r="K59" s="41">
        <f t="shared" ca="1" si="84"/>
        <v>0</v>
      </c>
      <c r="L59" s="41">
        <f t="shared" ca="1" si="84"/>
        <v>0</v>
      </c>
      <c r="M59" s="41">
        <f t="shared" ca="1" si="84"/>
        <v>0</v>
      </c>
      <c r="N59" s="41">
        <f t="shared" ca="1" si="84"/>
        <v>0</v>
      </c>
      <c r="O59" s="41">
        <f t="shared" ca="1" si="84"/>
        <v>0</v>
      </c>
      <c r="P59" s="41">
        <f t="shared" ca="1" si="84"/>
        <v>0</v>
      </c>
      <c r="Q59" s="41">
        <f t="shared" ca="1" si="84"/>
        <v>0</v>
      </c>
      <c r="R59" s="41">
        <f t="shared" ca="1" si="84"/>
        <v>0</v>
      </c>
      <c r="S59" s="41">
        <f t="shared" ca="1" si="84"/>
        <v>0</v>
      </c>
      <c r="T59" s="41">
        <f t="shared" ca="1" si="85"/>
        <v>0</v>
      </c>
      <c r="U59" s="41">
        <f t="shared" ca="1" si="85"/>
        <v>0</v>
      </c>
      <c r="V59" s="41">
        <f t="shared" ca="1" si="85"/>
        <v>0</v>
      </c>
      <c r="W59" s="41">
        <f t="shared" ca="1" si="85"/>
        <v>0</v>
      </c>
      <c r="X59" s="41">
        <f t="shared" ca="1" si="85"/>
        <v>0</v>
      </c>
      <c r="Y59" s="41">
        <f t="shared" ca="1" si="85"/>
        <v>0</v>
      </c>
      <c r="Z59" s="41">
        <f t="shared" ca="1" si="85"/>
        <v>0</v>
      </c>
      <c r="AA59" s="41">
        <f t="shared" ca="1" si="85"/>
        <v>0</v>
      </c>
      <c r="AB59" s="41">
        <f t="shared" ca="1" si="85"/>
        <v>0</v>
      </c>
      <c r="AC59" s="41">
        <f t="shared" ca="1" si="85"/>
        <v>0</v>
      </c>
      <c r="AD59" s="41">
        <f t="shared" ca="1" si="87"/>
        <v>0</v>
      </c>
      <c r="AE59" s="41">
        <f t="shared" ca="1" si="87"/>
        <v>0</v>
      </c>
      <c r="AF59" s="41">
        <f t="shared" ca="1" si="87"/>
        <v>0</v>
      </c>
      <c r="AG59" s="41">
        <f t="shared" ca="1" si="87"/>
        <v>-0.25966392581786302</v>
      </c>
      <c r="AH59" s="41">
        <f t="shared" ca="1" si="87"/>
        <v>1.5193549201288767</v>
      </c>
      <c r="AI59" s="41">
        <f t="shared" ca="1" si="87"/>
        <v>-0.25966392581786302</v>
      </c>
      <c r="AJ59" s="41">
        <f t="shared" ca="1" si="87"/>
        <v>0</v>
      </c>
      <c r="AK59" s="41">
        <f t="shared" ca="1" si="87"/>
        <v>0</v>
      </c>
      <c r="AL59" s="41">
        <f t="shared" ca="1" si="87"/>
        <v>0</v>
      </c>
      <c r="AM59" s="41">
        <f t="shared" ca="1" si="87"/>
        <v>0</v>
      </c>
      <c r="AN59" s="41">
        <f t="shared" ca="1" si="87"/>
        <v>0</v>
      </c>
      <c r="AO59" s="41">
        <f t="shared" ca="1" si="87"/>
        <v>0</v>
      </c>
      <c r="AP59" s="41">
        <f t="shared" ca="1" si="87"/>
        <v>0</v>
      </c>
      <c r="AQ59" s="41">
        <f t="shared" ca="1" si="87"/>
        <v>0</v>
      </c>
      <c r="AR59" s="41">
        <f t="shared" ca="1" si="87"/>
        <v>0</v>
      </c>
      <c r="AS59" s="41">
        <f t="shared" ca="1" si="87"/>
        <v>0</v>
      </c>
      <c r="AT59" s="41">
        <f t="shared" ca="1" si="87"/>
        <v>0</v>
      </c>
      <c r="AU59" s="41">
        <f t="shared" ca="1" si="87"/>
        <v>0</v>
      </c>
      <c r="AV59" s="41">
        <f t="shared" ca="1" si="87"/>
        <v>0</v>
      </c>
      <c r="AW59" s="41">
        <f t="shared" ca="1" si="87"/>
        <v>0</v>
      </c>
      <c r="AX59" s="41">
        <f t="shared" ca="1" si="87"/>
        <v>0</v>
      </c>
      <c r="AY59" s="41">
        <f t="shared" ca="1" si="87"/>
        <v>0</v>
      </c>
      <c r="AZ59" s="41">
        <f t="shared" ca="1" si="87"/>
        <v>0</v>
      </c>
      <c r="BA59" s="41">
        <f t="shared" ca="1" si="87"/>
        <v>0</v>
      </c>
      <c r="BB59" s="41">
        <f t="shared" ca="1" si="87"/>
        <v>0</v>
      </c>
      <c r="BC59" s="41">
        <f t="shared" ca="1" si="87"/>
        <v>0</v>
      </c>
      <c r="BD59" s="41">
        <f t="shared" ca="1" si="87"/>
        <v>0</v>
      </c>
      <c r="BE59" s="41">
        <f t="shared" ca="1" si="87"/>
        <v>0</v>
      </c>
      <c r="BF59" s="41">
        <f t="shared" ca="1" si="87"/>
        <v>0</v>
      </c>
      <c r="BG59" s="41">
        <f t="shared" ca="1" si="87"/>
        <v>0</v>
      </c>
      <c r="BH59" s="44">
        <f t="shared" ca="1" si="86"/>
        <v>0</v>
      </c>
    </row>
    <row r="60" spans="1:60" s="49" customFormat="1" x14ac:dyDescent="0.25">
      <c r="A60" s="26"/>
      <c r="H60" s="36"/>
      <c r="I60" s="26">
        <f t="shared" si="89"/>
        <v>25</v>
      </c>
      <c r="J60" s="44">
        <f t="shared" ca="1" si="88"/>
        <v>0</v>
      </c>
      <c r="K60" s="41">
        <f t="shared" ca="1" si="84"/>
        <v>0</v>
      </c>
      <c r="L60" s="41">
        <f t="shared" ca="1" si="84"/>
        <v>0</v>
      </c>
      <c r="M60" s="41">
        <f t="shared" ca="1" si="84"/>
        <v>0</v>
      </c>
      <c r="N60" s="41">
        <f t="shared" ca="1" si="84"/>
        <v>0</v>
      </c>
      <c r="O60" s="41">
        <f t="shared" ca="1" si="84"/>
        <v>0</v>
      </c>
      <c r="P60" s="41">
        <f t="shared" ca="1" si="84"/>
        <v>0</v>
      </c>
      <c r="Q60" s="41">
        <f t="shared" ca="1" si="84"/>
        <v>0</v>
      </c>
      <c r="R60" s="41">
        <f t="shared" ca="1" si="84"/>
        <v>0</v>
      </c>
      <c r="S60" s="41">
        <f t="shared" ca="1" si="84"/>
        <v>0</v>
      </c>
      <c r="T60" s="41">
        <f t="shared" ca="1" si="85"/>
        <v>0</v>
      </c>
      <c r="U60" s="41">
        <f t="shared" ca="1" si="85"/>
        <v>0</v>
      </c>
      <c r="V60" s="41">
        <f t="shared" ca="1" si="85"/>
        <v>0</v>
      </c>
      <c r="W60" s="41">
        <f t="shared" ca="1" si="85"/>
        <v>0</v>
      </c>
      <c r="X60" s="41">
        <f t="shared" ca="1" si="85"/>
        <v>0</v>
      </c>
      <c r="Y60" s="41">
        <f t="shared" ca="1" si="85"/>
        <v>0</v>
      </c>
      <c r="Z60" s="41">
        <f t="shared" ca="1" si="85"/>
        <v>0</v>
      </c>
      <c r="AA60" s="41">
        <f t="shared" ca="1" si="85"/>
        <v>0</v>
      </c>
      <c r="AB60" s="41">
        <f t="shared" ca="1" si="85"/>
        <v>0</v>
      </c>
      <c r="AC60" s="41">
        <f t="shared" ca="1" si="85"/>
        <v>0</v>
      </c>
      <c r="AD60" s="41">
        <f t="shared" ca="1" si="87"/>
        <v>0</v>
      </c>
      <c r="AE60" s="41">
        <f t="shared" ca="1" si="87"/>
        <v>0</v>
      </c>
      <c r="AF60" s="41">
        <f t="shared" ca="1" si="87"/>
        <v>0</v>
      </c>
      <c r="AG60" s="41">
        <f t="shared" ca="1" si="87"/>
        <v>0</v>
      </c>
      <c r="AH60" s="41">
        <f t="shared" ca="1" si="87"/>
        <v>-0.28175339172945202</v>
      </c>
      <c r="AI60" s="41">
        <f t="shared" ca="1" si="87"/>
        <v>1.5635338519520547</v>
      </c>
      <c r="AJ60" s="41">
        <f t="shared" ca="1" si="87"/>
        <v>-0.28175339172945202</v>
      </c>
      <c r="AK60" s="41">
        <f t="shared" ca="1" si="87"/>
        <v>0</v>
      </c>
      <c r="AL60" s="41">
        <f t="shared" ca="1" si="87"/>
        <v>0</v>
      </c>
      <c r="AM60" s="41">
        <f t="shared" ca="1" si="87"/>
        <v>0</v>
      </c>
      <c r="AN60" s="41">
        <f t="shared" ca="1" si="87"/>
        <v>0</v>
      </c>
      <c r="AO60" s="41">
        <f t="shared" ca="1" si="87"/>
        <v>0</v>
      </c>
      <c r="AP60" s="41">
        <f t="shared" ca="1" si="87"/>
        <v>0</v>
      </c>
      <c r="AQ60" s="41">
        <f t="shared" ca="1" si="87"/>
        <v>0</v>
      </c>
      <c r="AR60" s="41">
        <f t="shared" ca="1" si="87"/>
        <v>0</v>
      </c>
      <c r="AS60" s="41">
        <f t="shared" ca="1" si="87"/>
        <v>0</v>
      </c>
      <c r="AT60" s="41">
        <f t="shared" ca="1" si="87"/>
        <v>0</v>
      </c>
      <c r="AU60" s="41">
        <f t="shared" ca="1" si="87"/>
        <v>0</v>
      </c>
      <c r="AV60" s="41">
        <f t="shared" ca="1" si="87"/>
        <v>0</v>
      </c>
      <c r="AW60" s="41">
        <f t="shared" ca="1" si="87"/>
        <v>0</v>
      </c>
      <c r="AX60" s="41">
        <f t="shared" ca="1" si="87"/>
        <v>0</v>
      </c>
      <c r="AY60" s="41">
        <f t="shared" ca="1" si="87"/>
        <v>0</v>
      </c>
      <c r="AZ60" s="41">
        <f t="shared" ca="1" si="87"/>
        <v>0</v>
      </c>
      <c r="BA60" s="41">
        <f t="shared" ca="1" si="87"/>
        <v>0</v>
      </c>
      <c r="BB60" s="41">
        <f t="shared" ca="1" si="87"/>
        <v>0</v>
      </c>
      <c r="BC60" s="41">
        <f t="shared" ca="1" si="87"/>
        <v>0</v>
      </c>
      <c r="BD60" s="41">
        <f t="shared" ca="1" si="87"/>
        <v>0</v>
      </c>
      <c r="BE60" s="41">
        <f t="shared" ca="1" si="87"/>
        <v>0</v>
      </c>
      <c r="BF60" s="41">
        <f t="shared" ca="1" si="87"/>
        <v>0</v>
      </c>
      <c r="BG60" s="41">
        <f t="shared" ca="1" si="87"/>
        <v>0</v>
      </c>
      <c r="BH60" s="44">
        <f t="shared" ca="1" si="86"/>
        <v>0</v>
      </c>
    </row>
    <row r="61" spans="1:60" s="49" customFormat="1" x14ac:dyDescent="0.25">
      <c r="A61" s="26"/>
      <c r="H61" s="36"/>
      <c r="I61" s="26">
        <f t="shared" si="89"/>
        <v>26</v>
      </c>
      <c r="J61" s="44">
        <f t="shared" ca="1" si="88"/>
        <v>0</v>
      </c>
      <c r="K61" s="41">
        <f t="shared" ca="1" si="84"/>
        <v>0</v>
      </c>
      <c r="L61" s="41">
        <f t="shared" ca="1" si="84"/>
        <v>0</v>
      </c>
      <c r="M61" s="41">
        <f t="shared" ca="1" si="84"/>
        <v>0</v>
      </c>
      <c r="N61" s="41">
        <f t="shared" ca="1" si="84"/>
        <v>0</v>
      </c>
      <c r="O61" s="41">
        <f t="shared" ca="1" si="84"/>
        <v>0</v>
      </c>
      <c r="P61" s="41">
        <f t="shared" ca="1" si="84"/>
        <v>0</v>
      </c>
      <c r="Q61" s="41">
        <f t="shared" ca="1" si="84"/>
        <v>0</v>
      </c>
      <c r="R61" s="41">
        <f t="shared" ca="1" si="84"/>
        <v>0</v>
      </c>
      <c r="S61" s="41">
        <f t="shared" ca="1" si="84"/>
        <v>0</v>
      </c>
      <c r="T61" s="41">
        <f t="shared" ca="1" si="85"/>
        <v>0</v>
      </c>
      <c r="U61" s="41">
        <f t="shared" ca="1" si="85"/>
        <v>0</v>
      </c>
      <c r="V61" s="41">
        <f t="shared" ca="1" si="85"/>
        <v>0</v>
      </c>
      <c r="W61" s="41">
        <f t="shared" ca="1" si="85"/>
        <v>0</v>
      </c>
      <c r="X61" s="41">
        <f t="shared" ca="1" si="85"/>
        <v>0</v>
      </c>
      <c r="Y61" s="41">
        <f t="shared" ca="1" si="85"/>
        <v>0</v>
      </c>
      <c r="Z61" s="41">
        <f t="shared" ca="1" si="85"/>
        <v>0</v>
      </c>
      <c r="AA61" s="41">
        <f t="shared" ca="1" si="85"/>
        <v>0</v>
      </c>
      <c r="AB61" s="41">
        <f t="shared" ca="1" si="85"/>
        <v>0</v>
      </c>
      <c r="AC61" s="41">
        <f t="shared" ca="1" si="85"/>
        <v>0</v>
      </c>
      <c r="AD61" s="41">
        <f t="shared" ca="1" si="87"/>
        <v>0</v>
      </c>
      <c r="AE61" s="41">
        <f t="shared" ca="1" si="87"/>
        <v>0</v>
      </c>
      <c r="AF61" s="41">
        <f t="shared" ca="1" si="87"/>
        <v>0</v>
      </c>
      <c r="AG61" s="41">
        <f t="shared" ca="1" si="87"/>
        <v>0</v>
      </c>
      <c r="AH61" s="41">
        <f t="shared" ca="1" si="87"/>
        <v>0</v>
      </c>
      <c r="AI61" s="41">
        <f t="shared" ca="1" si="87"/>
        <v>-0.30474446849457532</v>
      </c>
      <c r="AJ61" s="41">
        <f t="shared" ca="1" si="87"/>
        <v>1.6095160054823012</v>
      </c>
      <c r="AK61" s="41">
        <f t="shared" ca="1" si="87"/>
        <v>-0.30474446849457532</v>
      </c>
      <c r="AL61" s="41">
        <f t="shared" ca="1" si="87"/>
        <v>0</v>
      </c>
      <c r="AM61" s="41">
        <f t="shared" ca="1" si="87"/>
        <v>0</v>
      </c>
      <c r="AN61" s="41">
        <f t="shared" ca="1" si="87"/>
        <v>0</v>
      </c>
      <c r="AO61" s="41">
        <f t="shared" ca="1" si="87"/>
        <v>0</v>
      </c>
      <c r="AP61" s="41">
        <f t="shared" ca="1" si="87"/>
        <v>0</v>
      </c>
      <c r="AQ61" s="41">
        <f t="shared" ca="1" si="87"/>
        <v>0</v>
      </c>
      <c r="AR61" s="41">
        <f t="shared" ca="1" si="87"/>
        <v>0</v>
      </c>
      <c r="AS61" s="41">
        <f t="shared" ca="1" si="87"/>
        <v>0</v>
      </c>
      <c r="AT61" s="41">
        <f t="shared" ca="1" si="87"/>
        <v>0</v>
      </c>
      <c r="AU61" s="41">
        <f t="shared" ca="1" si="87"/>
        <v>0</v>
      </c>
      <c r="AV61" s="41">
        <f t="shared" ca="1" si="87"/>
        <v>0</v>
      </c>
      <c r="AW61" s="41">
        <f t="shared" ca="1" si="87"/>
        <v>0</v>
      </c>
      <c r="AX61" s="41">
        <f t="shared" ca="1" si="87"/>
        <v>0</v>
      </c>
      <c r="AY61" s="41">
        <f t="shared" ca="1" si="87"/>
        <v>0</v>
      </c>
      <c r="AZ61" s="41">
        <f t="shared" ca="1" si="87"/>
        <v>0</v>
      </c>
      <c r="BA61" s="41">
        <f t="shared" ca="1" si="87"/>
        <v>0</v>
      </c>
      <c r="BB61" s="41">
        <f t="shared" ca="1" si="87"/>
        <v>0</v>
      </c>
      <c r="BC61" s="41">
        <f t="shared" ca="1" si="87"/>
        <v>0</v>
      </c>
      <c r="BD61" s="41">
        <f t="shared" ca="1" si="87"/>
        <v>0</v>
      </c>
      <c r="BE61" s="41">
        <f t="shared" ref="BE61:BG61" ca="1" si="90">IF(BE$35/$I61=1,OFFSET($J$30,1,$I61),IF((BE$35-1)/$I61=1,OFFSET($J$30,2,$I61),IF((BE$35-2)/$I61=1,OFFSET($J$30,3,$I61),0)))</f>
        <v>0</v>
      </c>
      <c r="BF61" s="41">
        <f t="shared" ca="1" si="90"/>
        <v>0</v>
      </c>
      <c r="BG61" s="41">
        <f t="shared" ca="1" si="90"/>
        <v>0</v>
      </c>
      <c r="BH61" s="44">
        <f t="shared" ca="1" si="86"/>
        <v>0</v>
      </c>
    </row>
    <row r="62" spans="1:60" s="49" customFormat="1" x14ac:dyDescent="0.25">
      <c r="A62" s="26"/>
      <c r="H62" s="36"/>
      <c r="I62" s="26">
        <f t="shared" si="89"/>
        <v>27</v>
      </c>
      <c r="J62" s="44">
        <f t="shared" ca="1" si="88"/>
        <v>0</v>
      </c>
      <c r="K62" s="41">
        <f t="shared" ca="1" si="88"/>
        <v>0</v>
      </c>
      <c r="L62" s="41">
        <f t="shared" ca="1" si="88"/>
        <v>0</v>
      </c>
      <c r="M62" s="41">
        <f t="shared" ca="1" si="88"/>
        <v>0</v>
      </c>
      <c r="N62" s="41">
        <f t="shared" ca="1" si="88"/>
        <v>0</v>
      </c>
      <c r="O62" s="41">
        <f t="shared" ca="1" si="88"/>
        <v>0</v>
      </c>
      <c r="P62" s="41">
        <f t="shared" ca="1" si="88"/>
        <v>0</v>
      </c>
      <c r="Q62" s="41">
        <f t="shared" ca="1" si="88"/>
        <v>0</v>
      </c>
      <c r="R62" s="41">
        <f t="shared" ca="1" si="88"/>
        <v>0</v>
      </c>
      <c r="S62" s="41">
        <f t="shared" ca="1" si="88"/>
        <v>0</v>
      </c>
      <c r="T62" s="41">
        <f t="shared" ca="1" si="88"/>
        <v>0</v>
      </c>
      <c r="U62" s="41">
        <f t="shared" ca="1" si="88"/>
        <v>0</v>
      </c>
      <c r="V62" s="41">
        <f t="shared" ca="1" si="88"/>
        <v>0</v>
      </c>
      <c r="W62" s="41">
        <f t="shared" ca="1" si="88"/>
        <v>0</v>
      </c>
      <c r="X62" s="41">
        <f t="shared" ca="1" si="88"/>
        <v>0</v>
      </c>
      <c r="Y62" s="41">
        <f t="shared" ca="1" si="88"/>
        <v>0</v>
      </c>
      <c r="Z62" s="41">
        <f t="shared" ref="T62:AF84" ca="1" si="91">IF(Z$35/$I62=1,OFFSET($J$30,1,$I62),IF((Z$35-1)/$I62=1,OFFSET($J$30,2,$I62),IF((Z$35-2)/$I62=1,OFFSET($J$30,3,$I62),0)))</f>
        <v>0</v>
      </c>
      <c r="AA62" s="41">
        <f t="shared" ca="1" si="91"/>
        <v>0</v>
      </c>
      <c r="AB62" s="41">
        <f t="shared" ca="1" si="91"/>
        <v>0</v>
      </c>
      <c r="AC62" s="41">
        <f t="shared" ca="1" si="91"/>
        <v>0</v>
      </c>
      <c r="AD62" s="41">
        <f t="shared" ca="1" si="91"/>
        <v>0</v>
      </c>
      <c r="AE62" s="41">
        <f t="shared" ca="1" si="91"/>
        <v>0</v>
      </c>
      <c r="AF62" s="41">
        <f t="shared" ca="1" si="91"/>
        <v>0</v>
      </c>
      <c r="AG62" s="41">
        <f t="shared" ref="AD62:BG70" ca="1" si="92">IF(AG$35/$I62=1,OFFSET($J$30,1,$I62),IF((AG$35-1)/$I62=1,OFFSET($J$30,2,$I62),IF((AG$35-2)/$I62=1,OFFSET($J$30,3,$I62),0)))</f>
        <v>0</v>
      </c>
      <c r="AH62" s="41">
        <f t="shared" ca="1" si="92"/>
        <v>0</v>
      </c>
      <c r="AI62" s="41">
        <f t="shared" ca="1" si="92"/>
        <v>0</v>
      </c>
      <c r="AJ62" s="41">
        <f t="shared" ca="1" si="92"/>
        <v>-0.32863715611323285</v>
      </c>
      <c r="AK62" s="41">
        <f t="shared" ca="1" si="92"/>
        <v>1.6573013807196164</v>
      </c>
      <c r="AL62" s="41">
        <f t="shared" ca="1" si="92"/>
        <v>-0.32863715611323285</v>
      </c>
      <c r="AM62" s="41">
        <f t="shared" ca="1" si="92"/>
        <v>0</v>
      </c>
      <c r="AN62" s="41">
        <f t="shared" ca="1" si="92"/>
        <v>0</v>
      </c>
      <c r="AO62" s="41">
        <f t="shared" ca="1" si="92"/>
        <v>0</v>
      </c>
      <c r="AP62" s="41">
        <f t="shared" ca="1" si="92"/>
        <v>0</v>
      </c>
      <c r="AQ62" s="41">
        <f t="shared" ca="1" si="92"/>
        <v>0</v>
      </c>
      <c r="AR62" s="41">
        <f t="shared" ca="1" si="92"/>
        <v>0</v>
      </c>
      <c r="AS62" s="41">
        <f t="shared" ca="1" si="92"/>
        <v>0</v>
      </c>
      <c r="AT62" s="41">
        <f t="shared" ca="1" si="92"/>
        <v>0</v>
      </c>
      <c r="AU62" s="41">
        <f t="shared" ca="1" si="92"/>
        <v>0</v>
      </c>
      <c r="AV62" s="41">
        <f t="shared" ca="1" si="92"/>
        <v>0</v>
      </c>
      <c r="AW62" s="41">
        <f t="shared" ca="1" si="92"/>
        <v>0</v>
      </c>
      <c r="AX62" s="41">
        <f t="shared" ca="1" si="92"/>
        <v>0</v>
      </c>
      <c r="AY62" s="41">
        <f t="shared" ca="1" si="92"/>
        <v>0</v>
      </c>
      <c r="AZ62" s="41">
        <f t="shared" ca="1" si="92"/>
        <v>0</v>
      </c>
      <c r="BA62" s="41">
        <f t="shared" ca="1" si="92"/>
        <v>0</v>
      </c>
      <c r="BB62" s="41">
        <f t="shared" ca="1" si="92"/>
        <v>0</v>
      </c>
      <c r="BC62" s="41">
        <f t="shared" ca="1" si="92"/>
        <v>0</v>
      </c>
      <c r="BD62" s="41">
        <f t="shared" ca="1" si="92"/>
        <v>0</v>
      </c>
      <c r="BE62" s="41">
        <f t="shared" ca="1" si="92"/>
        <v>0</v>
      </c>
      <c r="BF62" s="41">
        <f t="shared" ca="1" si="92"/>
        <v>0</v>
      </c>
      <c r="BG62" s="41">
        <f t="shared" ca="1" si="92"/>
        <v>0</v>
      </c>
      <c r="BH62" s="44">
        <f t="shared" ca="1" si="86"/>
        <v>0</v>
      </c>
    </row>
    <row r="63" spans="1:60" s="49" customFormat="1" x14ac:dyDescent="0.25">
      <c r="A63" s="26"/>
      <c r="H63" s="36"/>
      <c r="I63" s="26">
        <f t="shared" si="89"/>
        <v>28</v>
      </c>
      <c r="J63" s="44">
        <f t="shared" ca="1" si="88"/>
        <v>0</v>
      </c>
      <c r="K63" s="41">
        <f t="shared" ca="1" si="88"/>
        <v>0</v>
      </c>
      <c r="L63" s="41">
        <f t="shared" ca="1" si="88"/>
        <v>0</v>
      </c>
      <c r="M63" s="41">
        <f t="shared" ca="1" si="88"/>
        <v>0</v>
      </c>
      <c r="N63" s="41">
        <f t="shared" ca="1" si="88"/>
        <v>0</v>
      </c>
      <c r="O63" s="41">
        <f t="shared" ca="1" si="88"/>
        <v>0</v>
      </c>
      <c r="P63" s="41">
        <f t="shared" ca="1" si="88"/>
        <v>0</v>
      </c>
      <c r="Q63" s="41">
        <f t="shared" ca="1" si="88"/>
        <v>0</v>
      </c>
      <c r="R63" s="41">
        <f t="shared" ca="1" si="88"/>
        <v>0</v>
      </c>
      <c r="S63" s="41">
        <f t="shared" ca="1" si="88"/>
        <v>0</v>
      </c>
      <c r="T63" s="41">
        <f t="shared" ca="1" si="91"/>
        <v>0</v>
      </c>
      <c r="U63" s="41">
        <f t="shared" ca="1" si="91"/>
        <v>0</v>
      </c>
      <c r="V63" s="41">
        <f t="shared" ca="1" si="91"/>
        <v>0</v>
      </c>
      <c r="W63" s="41">
        <f t="shared" ca="1" si="91"/>
        <v>0</v>
      </c>
      <c r="X63" s="41">
        <f t="shared" ca="1" si="91"/>
        <v>0</v>
      </c>
      <c r="Y63" s="41">
        <f t="shared" ca="1" si="91"/>
        <v>0</v>
      </c>
      <c r="Z63" s="41">
        <f t="shared" ca="1" si="91"/>
        <v>0</v>
      </c>
      <c r="AA63" s="41">
        <f t="shared" ca="1" si="91"/>
        <v>0</v>
      </c>
      <c r="AB63" s="41">
        <f t="shared" ca="1" si="91"/>
        <v>0</v>
      </c>
      <c r="AC63" s="41">
        <f t="shared" ca="1" si="91"/>
        <v>0</v>
      </c>
      <c r="AD63" s="41">
        <f t="shared" ca="1" si="92"/>
        <v>0</v>
      </c>
      <c r="AE63" s="41">
        <f t="shared" ca="1" si="92"/>
        <v>0</v>
      </c>
      <c r="AF63" s="41">
        <f t="shared" ca="1" si="92"/>
        <v>0</v>
      </c>
      <c r="AG63" s="41">
        <f t="shared" ca="1" si="92"/>
        <v>0</v>
      </c>
      <c r="AH63" s="41">
        <f t="shared" ca="1" si="92"/>
        <v>0</v>
      </c>
      <c r="AI63" s="41">
        <f t="shared" ca="1" si="92"/>
        <v>0</v>
      </c>
      <c r="AJ63" s="41">
        <f t="shared" ca="1" si="92"/>
        <v>0</v>
      </c>
      <c r="AK63" s="41">
        <f t="shared" ca="1" si="92"/>
        <v>-0.35343145458542463</v>
      </c>
      <c r="AL63" s="41">
        <f t="shared" ca="1" si="92"/>
        <v>1.7068899776640001</v>
      </c>
      <c r="AM63" s="41">
        <f t="shared" ca="1" si="92"/>
        <v>-0.35343145458542463</v>
      </c>
      <c r="AN63" s="41">
        <f t="shared" ca="1" si="92"/>
        <v>0</v>
      </c>
      <c r="AO63" s="41">
        <f t="shared" ca="1" si="92"/>
        <v>0</v>
      </c>
      <c r="AP63" s="41">
        <f t="shared" ca="1" si="92"/>
        <v>0</v>
      </c>
      <c r="AQ63" s="41">
        <f t="shared" ca="1" si="92"/>
        <v>0</v>
      </c>
      <c r="AR63" s="41">
        <f t="shared" ca="1" si="92"/>
        <v>0</v>
      </c>
      <c r="AS63" s="41">
        <f t="shared" ca="1" si="92"/>
        <v>0</v>
      </c>
      <c r="AT63" s="41">
        <f t="shared" ca="1" si="92"/>
        <v>0</v>
      </c>
      <c r="AU63" s="41">
        <f t="shared" ca="1" si="92"/>
        <v>0</v>
      </c>
      <c r="AV63" s="41">
        <f t="shared" ca="1" si="92"/>
        <v>0</v>
      </c>
      <c r="AW63" s="41">
        <f t="shared" ca="1" si="92"/>
        <v>0</v>
      </c>
      <c r="AX63" s="41">
        <f t="shared" ca="1" si="92"/>
        <v>0</v>
      </c>
      <c r="AY63" s="41">
        <f t="shared" ca="1" si="92"/>
        <v>0</v>
      </c>
      <c r="AZ63" s="41">
        <f t="shared" ca="1" si="92"/>
        <v>0</v>
      </c>
      <c r="BA63" s="41">
        <f t="shared" ca="1" si="92"/>
        <v>0</v>
      </c>
      <c r="BB63" s="41">
        <f t="shared" ca="1" si="92"/>
        <v>0</v>
      </c>
      <c r="BC63" s="41">
        <f t="shared" ca="1" si="92"/>
        <v>0</v>
      </c>
      <c r="BD63" s="41">
        <f t="shared" ca="1" si="92"/>
        <v>0</v>
      </c>
      <c r="BE63" s="41">
        <f t="shared" ca="1" si="92"/>
        <v>0</v>
      </c>
      <c r="BF63" s="41">
        <f t="shared" ca="1" si="92"/>
        <v>0</v>
      </c>
      <c r="BG63" s="41">
        <f t="shared" ca="1" si="92"/>
        <v>0</v>
      </c>
      <c r="BH63" s="44">
        <f t="shared" ca="1" si="86"/>
        <v>0</v>
      </c>
    </row>
    <row r="64" spans="1:60" s="49" customFormat="1" x14ac:dyDescent="0.25">
      <c r="A64" s="26"/>
      <c r="H64" s="36"/>
      <c r="I64" s="26">
        <f t="shared" si="89"/>
        <v>29</v>
      </c>
      <c r="J64" s="44">
        <f t="shared" ca="1" si="88"/>
        <v>0</v>
      </c>
      <c r="K64" s="41">
        <f t="shared" ca="1" si="88"/>
        <v>0</v>
      </c>
      <c r="L64" s="41">
        <f t="shared" ca="1" si="88"/>
        <v>0</v>
      </c>
      <c r="M64" s="41">
        <f t="shared" ca="1" si="88"/>
        <v>0</v>
      </c>
      <c r="N64" s="41">
        <f t="shared" ca="1" si="88"/>
        <v>0</v>
      </c>
      <c r="O64" s="41">
        <f t="shared" ca="1" si="88"/>
        <v>0</v>
      </c>
      <c r="P64" s="41">
        <f t="shared" ca="1" si="88"/>
        <v>0</v>
      </c>
      <c r="Q64" s="41">
        <f t="shared" ca="1" si="88"/>
        <v>0</v>
      </c>
      <c r="R64" s="41">
        <f t="shared" ca="1" si="88"/>
        <v>0</v>
      </c>
      <c r="S64" s="41">
        <f t="shared" ca="1" si="88"/>
        <v>0</v>
      </c>
      <c r="T64" s="41">
        <f t="shared" ca="1" si="91"/>
        <v>0</v>
      </c>
      <c r="U64" s="41">
        <f t="shared" ca="1" si="91"/>
        <v>0</v>
      </c>
      <c r="V64" s="41">
        <f t="shared" ca="1" si="91"/>
        <v>0</v>
      </c>
      <c r="W64" s="41">
        <f t="shared" ca="1" si="91"/>
        <v>0</v>
      </c>
      <c r="X64" s="41">
        <f t="shared" ca="1" si="91"/>
        <v>0</v>
      </c>
      <c r="Y64" s="41">
        <f t="shared" ca="1" si="91"/>
        <v>0</v>
      </c>
      <c r="Z64" s="41">
        <f t="shared" ca="1" si="91"/>
        <v>0</v>
      </c>
      <c r="AA64" s="41">
        <f t="shared" ca="1" si="91"/>
        <v>0</v>
      </c>
      <c r="AB64" s="41">
        <f t="shared" ca="1" si="91"/>
        <v>0</v>
      </c>
      <c r="AC64" s="41">
        <f t="shared" ca="1" si="91"/>
        <v>0</v>
      </c>
      <c r="AD64" s="41">
        <f t="shared" ca="1" si="92"/>
        <v>0</v>
      </c>
      <c r="AE64" s="41">
        <f t="shared" ca="1" si="92"/>
        <v>0</v>
      </c>
      <c r="AF64" s="41">
        <f t="shared" ca="1" si="92"/>
        <v>0</v>
      </c>
      <c r="AG64" s="41">
        <f t="shared" ca="1" si="92"/>
        <v>0</v>
      </c>
      <c r="AH64" s="41">
        <f t="shared" ca="1" si="92"/>
        <v>0</v>
      </c>
      <c r="AI64" s="41">
        <f t="shared" ca="1" si="92"/>
        <v>0</v>
      </c>
      <c r="AJ64" s="41">
        <f t="shared" ca="1" si="92"/>
        <v>0</v>
      </c>
      <c r="AK64" s="41">
        <f t="shared" ca="1" si="92"/>
        <v>0</v>
      </c>
      <c r="AL64" s="41">
        <f t="shared" ca="1" si="92"/>
        <v>-0.37912736391115065</v>
      </c>
      <c r="AM64" s="41">
        <f t="shared" ca="1" si="92"/>
        <v>1.758281796315452</v>
      </c>
      <c r="AN64" s="41">
        <f t="shared" ca="1" si="92"/>
        <v>-0.37912736391115065</v>
      </c>
      <c r="AO64" s="41">
        <f t="shared" ca="1" si="92"/>
        <v>0</v>
      </c>
      <c r="AP64" s="41">
        <f t="shared" ca="1" si="92"/>
        <v>0</v>
      </c>
      <c r="AQ64" s="41">
        <f t="shared" ca="1" si="92"/>
        <v>0</v>
      </c>
      <c r="AR64" s="41">
        <f t="shared" ca="1" si="92"/>
        <v>0</v>
      </c>
      <c r="AS64" s="41">
        <f t="shared" ca="1" si="92"/>
        <v>0</v>
      </c>
      <c r="AT64" s="41">
        <f t="shared" ca="1" si="92"/>
        <v>0</v>
      </c>
      <c r="AU64" s="41">
        <f t="shared" ca="1" si="92"/>
        <v>0</v>
      </c>
      <c r="AV64" s="41">
        <f t="shared" ca="1" si="92"/>
        <v>0</v>
      </c>
      <c r="AW64" s="41">
        <f t="shared" ca="1" si="92"/>
        <v>0</v>
      </c>
      <c r="AX64" s="41">
        <f t="shared" ca="1" si="92"/>
        <v>0</v>
      </c>
      <c r="AY64" s="41">
        <f t="shared" ca="1" si="92"/>
        <v>0</v>
      </c>
      <c r="AZ64" s="41">
        <f t="shared" ca="1" si="92"/>
        <v>0</v>
      </c>
      <c r="BA64" s="41">
        <f t="shared" ca="1" si="92"/>
        <v>0</v>
      </c>
      <c r="BB64" s="41">
        <f t="shared" ca="1" si="92"/>
        <v>0</v>
      </c>
      <c r="BC64" s="41">
        <f t="shared" ca="1" si="92"/>
        <v>0</v>
      </c>
      <c r="BD64" s="41">
        <f t="shared" ca="1" si="92"/>
        <v>0</v>
      </c>
      <c r="BE64" s="41">
        <f t="shared" ca="1" si="92"/>
        <v>0</v>
      </c>
      <c r="BF64" s="41">
        <f t="shared" ca="1" si="92"/>
        <v>0</v>
      </c>
      <c r="BG64" s="41">
        <f t="shared" ca="1" si="92"/>
        <v>0</v>
      </c>
      <c r="BH64" s="44">
        <f t="shared" ca="1" si="86"/>
        <v>0</v>
      </c>
    </row>
    <row r="65" spans="1:60" s="49" customFormat="1" x14ac:dyDescent="0.25">
      <c r="A65" s="26"/>
      <c r="H65" s="36"/>
      <c r="I65" s="26">
        <f t="shared" si="89"/>
        <v>30</v>
      </c>
      <c r="J65" s="44">
        <f t="shared" ca="1" si="88"/>
        <v>0</v>
      </c>
      <c r="K65" s="41">
        <f t="shared" ca="1" si="88"/>
        <v>0</v>
      </c>
      <c r="L65" s="41">
        <f t="shared" ca="1" si="88"/>
        <v>0</v>
      </c>
      <c r="M65" s="41">
        <f t="shared" ca="1" si="88"/>
        <v>0</v>
      </c>
      <c r="N65" s="41">
        <f t="shared" ca="1" si="88"/>
        <v>0</v>
      </c>
      <c r="O65" s="41">
        <f t="shared" ca="1" si="88"/>
        <v>0</v>
      </c>
      <c r="P65" s="41">
        <f t="shared" ca="1" si="88"/>
        <v>0</v>
      </c>
      <c r="Q65" s="41">
        <f t="shared" ca="1" si="88"/>
        <v>0</v>
      </c>
      <c r="R65" s="41">
        <f t="shared" ca="1" si="88"/>
        <v>0</v>
      </c>
      <c r="S65" s="41">
        <f t="shared" ca="1" si="88"/>
        <v>0</v>
      </c>
      <c r="T65" s="41">
        <f t="shared" ca="1" si="91"/>
        <v>0</v>
      </c>
      <c r="U65" s="41">
        <f t="shared" ca="1" si="91"/>
        <v>0</v>
      </c>
      <c r="V65" s="41">
        <f t="shared" ca="1" si="91"/>
        <v>0</v>
      </c>
      <c r="W65" s="41">
        <f t="shared" ca="1" si="91"/>
        <v>0</v>
      </c>
      <c r="X65" s="41">
        <f t="shared" ca="1" si="91"/>
        <v>0</v>
      </c>
      <c r="Y65" s="41">
        <f t="shared" ca="1" si="91"/>
        <v>0</v>
      </c>
      <c r="Z65" s="41">
        <f t="shared" ca="1" si="91"/>
        <v>0</v>
      </c>
      <c r="AA65" s="41">
        <f t="shared" ca="1" si="91"/>
        <v>0</v>
      </c>
      <c r="AB65" s="41">
        <f t="shared" ca="1" si="91"/>
        <v>0</v>
      </c>
      <c r="AC65" s="41">
        <f t="shared" ca="1" si="91"/>
        <v>0</v>
      </c>
      <c r="AD65" s="41">
        <f t="shared" ca="1" si="92"/>
        <v>0</v>
      </c>
      <c r="AE65" s="41">
        <f t="shared" ca="1" si="92"/>
        <v>0</v>
      </c>
      <c r="AF65" s="41">
        <f t="shared" ca="1" si="92"/>
        <v>0</v>
      </c>
      <c r="AG65" s="41">
        <f t="shared" ca="1" si="92"/>
        <v>0</v>
      </c>
      <c r="AH65" s="41">
        <f t="shared" ca="1" si="92"/>
        <v>0</v>
      </c>
      <c r="AI65" s="41">
        <f t="shared" ca="1" si="92"/>
        <v>0</v>
      </c>
      <c r="AJ65" s="41">
        <f t="shared" ca="1" si="92"/>
        <v>0</v>
      </c>
      <c r="AK65" s="41">
        <f t="shared" ca="1" si="92"/>
        <v>0</v>
      </c>
      <c r="AL65" s="41">
        <f t="shared" ca="1" si="92"/>
        <v>0</v>
      </c>
      <c r="AM65" s="41">
        <f t="shared" ca="1" si="92"/>
        <v>-0.40572488409041091</v>
      </c>
      <c r="AN65" s="41">
        <f t="shared" ca="1" si="92"/>
        <v>1.8114768366739724</v>
      </c>
      <c r="AO65" s="41">
        <f t="shared" ca="1" si="92"/>
        <v>-0.40572488409041091</v>
      </c>
      <c r="AP65" s="41">
        <f t="shared" ca="1" si="92"/>
        <v>0</v>
      </c>
      <c r="AQ65" s="41">
        <f t="shared" ca="1" si="92"/>
        <v>0</v>
      </c>
      <c r="AR65" s="41">
        <f t="shared" ca="1" si="92"/>
        <v>0</v>
      </c>
      <c r="AS65" s="41">
        <f t="shared" ca="1" si="92"/>
        <v>0</v>
      </c>
      <c r="AT65" s="41">
        <f t="shared" ca="1" si="92"/>
        <v>0</v>
      </c>
      <c r="AU65" s="41">
        <f t="shared" ca="1" si="92"/>
        <v>0</v>
      </c>
      <c r="AV65" s="41">
        <f t="shared" ca="1" si="92"/>
        <v>0</v>
      </c>
      <c r="AW65" s="41">
        <f t="shared" ca="1" si="92"/>
        <v>0</v>
      </c>
      <c r="AX65" s="41">
        <f t="shared" ca="1" si="92"/>
        <v>0</v>
      </c>
      <c r="AY65" s="41">
        <f t="shared" ca="1" si="92"/>
        <v>0</v>
      </c>
      <c r="AZ65" s="41">
        <f t="shared" ca="1" si="92"/>
        <v>0</v>
      </c>
      <c r="BA65" s="41">
        <f t="shared" ca="1" si="92"/>
        <v>0</v>
      </c>
      <c r="BB65" s="41">
        <f t="shared" ca="1" si="92"/>
        <v>0</v>
      </c>
      <c r="BC65" s="41">
        <f t="shared" ca="1" si="92"/>
        <v>0</v>
      </c>
      <c r="BD65" s="41">
        <f t="shared" ca="1" si="92"/>
        <v>0</v>
      </c>
      <c r="BE65" s="41">
        <f t="shared" ca="1" si="92"/>
        <v>0</v>
      </c>
      <c r="BF65" s="41">
        <f t="shared" ca="1" si="92"/>
        <v>0</v>
      </c>
      <c r="BG65" s="41">
        <f t="shared" ca="1" si="92"/>
        <v>0</v>
      </c>
      <c r="BH65" s="44">
        <f t="shared" ca="1" si="86"/>
        <v>0</v>
      </c>
    </row>
    <row r="66" spans="1:60" s="49" customFormat="1" x14ac:dyDescent="0.25">
      <c r="A66" s="26"/>
      <c r="H66" s="36"/>
      <c r="I66" s="26">
        <f t="shared" si="89"/>
        <v>31</v>
      </c>
      <c r="J66" s="44">
        <f t="shared" ca="1" si="88"/>
        <v>0</v>
      </c>
      <c r="K66" s="41">
        <f t="shared" ca="1" si="88"/>
        <v>0</v>
      </c>
      <c r="L66" s="41">
        <f t="shared" ca="1" si="88"/>
        <v>0</v>
      </c>
      <c r="M66" s="41">
        <f t="shared" ca="1" si="88"/>
        <v>0</v>
      </c>
      <c r="N66" s="41">
        <f t="shared" ca="1" si="88"/>
        <v>0</v>
      </c>
      <c r="O66" s="41">
        <f t="shared" ca="1" si="88"/>
        <v>0</v>
      </c>
      <c r="P66" s="41">
        <f t="shared" ca="1" si="88"/>
        <v>0</v>
      </c>
      <c r="Q66" s="41">
        <f t="shared" ca="1" si="88"/>
        <v>0</v>
      </c>
      <c r="R66" s="41">
        <f t="shared" ca="1" si="88"/>
        <v>0</v>
      </c>
      <c r="S66" s="41">
        <f t="shared" ca="1" si="88"/>
        <v>0</v>
      </c>
      <c r="T66" s="41">
        <f t="shared" ca="1" si="91"/>
        <v>0</v>
      </c>
      <c r="U66" s="41">
        <f t="shared" ca="1" si="91"/>
        <v>0</v>
      </c>
      <c r="V66" s="41">
        <f t="shared" ca="1" si="91"/>
        <v>0</v>
      </c>
      <c r="W66" s="41">
        <f t="shared" ca="1" si="91"/>
        <v>0</v>
      </c>
      <c r="X66" s="41">
        <f t="shared" ca="1" si="91"/>
        <v>0</v>
      </c>
      <c r="Y66" s="41">
        <f t="shared" ca="1" si="91"/>
        <v>0</v>
      </c>
      <c r="Z66" s="41">
        <f t="shared" ca="1" si="91"/>
        <v>0</v>
      </c>
      <c r="AA66" s="41">
        <f t="shared" ca="1" si="91"/>
        <v>0</v>
      </c>
      <c r="AB66" s="41">
        <f t="shared" ca="1" si="91"/>
        <v>0</v>
      </c>
      <c r="AC66" s="41">
        <f t="shared" ca="1" si="91"/>
        <v>0</v>
      </c>
      <c r="AD66" s="41">
        <f t="shared" ca="1" si="92"/>
        <v>0</v>
      </c>
      <c r="AE66" s="41">
        <f t="shared" ca="1" si="92"/>
        <v>0</v>
      </c>
      <c r="AF66" s="41">
        <f t="shared" ca="1" si="92"/>
        <v>0</v>
      </c>
      <c r="AG66" s="41">
        <f t="shared" ca="1" si="92"/>
        <v>0</v>
      </c>
      <c r="AH66" s="41">
        <f t="shared" ca="1" si="92"/>
        <v>0</v>
      </c>
      <c r="AI66" s="41">
        <f t="shared" ca="1" si="92"/>
        <v>0</v>
      </c>
      <c r="AJ66" s="41">
        <f t="shared" ca="1" si="92"/>
        <v>0</v>
      </c>
      <c r="AK66" s="41">
        <f t="shared" ca="1" si="92"/>
        <v>0</v>
      </c>
      <c r="AL66" s="41">
        <f t="shared" ca="1" si="92"/>
        <v>0</v>
      </c>
      <c r="AM66" s="41">
        <f t="shared" ca="1" si="92"/>
        <v>0</v>
      </c>
      <c r="AN66" s="41">
        <f t="shared" ca="1" si="92"/>
        <v>-0.43322401512320541</v>
      </c>
      <c r="AO66" s="41">
        <f t="shared" ca="1" si="92"/>
        <v>1.8664750987395615</v>
      </c>
      <c r="AP66" s="41">
        <f t="shared" ca="1" si="92"/>
        <v>-0.43322401512320541</v>
      </c>
      <c r="AQ66" s="41">
        <f t="shared" ca="1" si="92"/>
        <v>0</v>
      </c>
      <c r="AR66" s="41">
        <f t="shared" ca="1" si="92"/>
        <v>0</v>
      </c>
      <c r="AS66" s="41">
        <f t="shared" ca="1" si="92"/>
        <v>0</v>
      </c>
      <c r="AT66" s="41">
        <f t="shared" ca="1" si="92"/>
        <v>0</v>
      </c>
      <c r="AU66" s="41">
        <f t="shared" ca="1" si="92"/>
        <v>0</v>
      </c>
      <c r="AV66" s="41">
        <f t="shared" ca="1" si="92"/>
        <v>0</v>
      </c>
      <c r="AW66" s="41">
        <f t="shared" ca="1" si="92"/>
        <v>0</v>
      </c>
      <c r="AX66" s="41">
        <f t="shared" ca="1" si="92"/>
        <v>0</v>
      </c>
      <c r="AY66" s="41">
        <f t="shared" ca="1" si="92"/>
        <v>0</v>
      </c>
      <c r="AZ66" s="41">
        <f t="shared" ca="1" si="92"/>
        <v>0</v>
      </c>
      <c r="BA66" s="41">
        <f t="shared" ca="1" si="92"/>
        <v>0</v>
      </c>
      <c r="BB66" s="41">
        <f t="shared" ca="1" si="92"/>
        <v>0</v>
      </c>
      <c r="BC66" s="41">
        <f t="shared" ca="1" si="92"/>
        <v>0</v>
      </c>
      <c r="BD66" s="41">
        <f t="shared" ca="1" si="92"/>
        <v>0</v>
      </c>
      <c r="BE66" s="41">
        <f t="shared" ca="1" si="92"/>
        <v>0</v>
      </c>
      <c r="BF66" s="41">
        <f t="shared" ca="1" si="92"/>
        <v>0</v>
      </c>
      <c r="BG66" s="41">
        <f t="shared" ca="1" si="92"/>
        <v>0</v>
      </c>
      <c r="BH66" s="44">
        <f t="shared" ca="1" si="86"/>
        <v>0</v>
      </c>
    </row>
    <row r="67" spans="1:60" s="49" customFormat="1" x14ac:dyDescent="0.25">
      <c r="A67" s="26"/>
      <c r="H67" s="36"/>
      <c r="I67" s="26">
        <f t="shared" si="89"/>
        <v>32</v>
      </c>
      <c r="J67" s="44">
        <f t="shared" ca="1" si="88"/>
        <v>0</v>
      </c>
      <c r="K67" s="41">
        <f t="shared" ca="1" si="88"/>
        <v>0</v>
      </c>
      <c r="L67" s="41">
        <f t="shared" ca="1" si="88"/>
        <v>0</v>
      </c>
      <c r="M67" s="41">
        <f t="shared" ca="1" si="88"/>
        <v>0</v>
      </c>
      <c r="N67" s="41">
        <f t="shared" ca="1" si="88"/>
        <v>0</v>
      </c>
      <c r="O67" s="41">
        <f t="shared" ca="1" si="88"/>
        <v>0</v>
      </c>
      <c r="P67" s="41">
        <f t="shared" ca="1" si="88"/>
        <v>0</v>
      </c>
      <c r="Q67" s="41">
        <f t="shared" ca="1" si="88"/>
        <v>0</v>
      </c>
      <c r="R67" s="41">
        <f t="shared" ca="1" si="88"/>
        <v>0</v>
      </c>
      <c r="S67" s="41">
        <f t="shared" ca="1" si="88"/>
        <v>0</v>
      </c>
      <c r="T67" s="41">
        <f t="shared" ca="1" si="91"/>
        <v>0</v>
      </c>
      <c r="U67" s="41">
        <f t="shared" ca="1" si="91"/>
        <v>0</v>
      </c>
      <c r="V67" s="41">
        <f t="shared" ca="1" si="91"/>
        <v>0</v>
      </c>
      <c r="W67" s="41">
        <f t="shared" ca="1" si="91"/>
        <v>0</v>
      </c>
      <c r="X67" s="41">
        <f t="shared" ca="1" si="91"/>
        <v>0</v>
      </c>
      <c r="Y67" s="41">
        <f t="shared" ca="1" si="91"/>
        <v>0</v>
      </c>
      <c r="Z67" s="41">
        <f t="shared" ca="1" si="91"/>
        <v>0</v>
      </c>
      <c r="AA67" s="41">
        <f t="shared" ca="1" si="91"/>
        <v>0</v>
      </c>
      <c r="AB67" s="41">
        <f t="shared" ca="1" si="91"/>
        <v>0</v>
      </c>
      <c r="AC67" s="41">
        <f t="shared" ca="1" si="91"/>
        <v>0</v>
      </c>
      <c r="AD67" s="41">
        <f t="shared" ca="1" si="92"/>
        <v>0</v>
      </c>
      <c r="AE67" s="41">
        <f t="shared" ca="1" si="92"/>
        <v>0</v>
      </c>
      <c r="AF67" s="41">
        <f t="shared" ca="1" si="92"/>
        <v>0</v>
      </c>
      <c r="AG67" s="41">
        <f t="shared" ca="1" si="92"/>
        <v>0</v>
      </c>
      <c r="AH67" s="41">
        <f t="shared" ca="1" si="92"/>
        <v>0</v>
      </c>
      <c r="AI67" s="41">
        <f t="shared" ca="1" si="92"/>
        <v>0</v>
      </c>
      <c r="AJ67" s="41">
        <f t="shared" ca="1" si="92"/>
        <v>0</v>
      </c>
      <c r="AK67" s="41">
        <f t="shared" ca="1" si="92"/>
        <v>0</v>
      </c>
      <c r="AL67" s="41">
        <f t="shared" ca="1" si="92"/>
        <v>0</v>
      </c>
      <c r="AM67" s="41">
        <f t="shared" ca="1" si="92"/>
        <v>0</v>
      </c>
      <c r="AN67" s="41">
        <f t="shared" ca="1" si="92"/>
        <v>0</v>
      </c>
      <c r="AO67" s="41">
        <f t="shared" ca="1" si="92"/>
        <v>-0.4616247570095342</v>
      </c>
      <c r="AP67" s="41">
        <f t="shared" ca="1" si="92"/>
        <v>1.9232765825122191</v>
      </c>
      <c r="AQ67" s="41">
        <f t="shared" ca="1" si="92"/>
        <v>-0.4616247570095342</v>
      </c>
      <c r="AR67" s="41">
        <f t="shared" ca="1" si="92"/>
        <v>0</v>
      </c>
      <c r="AS67" s="41">
        <f t="shared" ca="1" si="92"/>
        <v>0</v>
      </c>
      <c r="AT67" s="41">
        <f t="shared" ca="1" si="92"/>
        <v>0</v>
      </c>
      <c r="AU67" s="41">
        <f t="shared" ca="1" si="92"/>
        <v>0</v>
      </c>
      <c r="AV67" s="41">
        <f t="shared" ca="1" si="92"/>
        <v>0</v>
      </c>
      <c r="AW67" s="41">
        <f t="shared" ca="1" si="92"/>
        <v>0</v>
      </c>
      <c r="AX67" s="41">
        <f t="shared" ca="1" si="92"/>
        <v>0</v>
      </c>
      <c r="AY67" s="41">
        <f t="shared" ca="1" si="92"/>
        <v>0</v>
      </c>
      <c r="AZ67" s="41">
        <f t="shared" ca="1" si="92"/>
        <v>0</v>
      </c>
      <c r="BA67" s="41">
        <f t="shared" ca="1" si="92"/>
        <v>0</v>
      </c>
      <c r="BB67" s="41">
        <f t="shared" ca="1" si="92"/>
        <v>0</v>
      </c>
      <c r="BC67" s="41">
        <f t="shared" ca="1" si="92"/>
        <v>0</v>
      </c>
      <c r="BD67" s="41">
        <f t="shared" ca="1" si="92"/>
        <v>0</v>
      </c>
      <c r="BE67" s="41">
        <f t="shared" ca="1" si="92"/>
        <v>0</v>
      </c>
      <c r="BF67" s="41">
        <f t="shared" ca="1" si="92"/>
        <v>0</v>
      </c>
      <c r="BG67" s="41">
        <f t="shared" ca="1" si="92"/>
        <v>0</v>
      </c>
      <c r="BH67" s="44">
        <f t="shared" ca="1" si="86"/>
        <v>0</v>
      </c>
    </row>
    <row r="68" spans="1:60" s="49" customFormat="1" x14ac:dyDescent="0.25">
      <c r="A68" s="26"/>
      <c r="H68" s="36"/>
      <c r="I68" s="26">
        <f t="shared" si="89"/>
        <v>33</v>
      </c>
      <c r="J68" s="44">
        <f t="shared" ca="1" si="88"/>
        <v>0</v>
      </c>
      <c r="K68" s="41">
        <f t="shared" ca="1" si="88"/>
        <v>0</v>
      </c>
      <c r="L68" s="41">
        <f t="shared" ca="1" si="88"/>
        <v>0</v>
      </c>
      <c r="M68" s="41">
        <f t="shared" ca="1" si="88"/>
        <v>0</v>
      </c>
      <c r="N68" s="41">
        <f t="shared" ca="1" si="88"/>
        <v>0</v>
      </c>
      <c r="O68" s="41">
        <f t="shared" ca="1" si="88"/>
        <v>0</v>
      </c>
      <c r="P68" s="41">
        <f t="shared" ca="1" si="88"/>
        <v>0</v>
      </c>
      <c r="Q68" s="41">
        <f t="shared" ca="1" si="88"/>
        <v>0</v>
      </c>
      <c r="R68" s="41">
        <f t="shared" ca="1" si="88"/>
        <v>0</v>
      </c>
      <c r="S68" s="41">
        <f t="shared" ca="1" si="88"/>
        <v>0</v>
      </c>
      <c r="T68" s="41">
        <f t="shared" ca="1" si="91"/>
        <v>0</v>
      </c>
      <c r="U68" s="41">
        <f t="shared" ca="1" si="91"/>
        <v>0</v>
      </c>
      <c r="V68" s="41">
        <f t="shared" ca="1" si="91"/>
        <v>0</v>
      </c>
      <c r="W68" s="41">
        <f t="shared" ca="1" si="91"/>
        <v>0</v>
      </c>
      <c r="X68" s="41">
        <f t="shared" ca="1" si="91"/>
        <v>0</v>
      </c>
      <c r="Y68" s="41">
        <f t="shared" ca="1" si="91"/>
        <v>0</v>
      </c>
      <c r="Z68" s="41">
        <f t="shared" ca="1" si="91"/>
        <v>0</v>
      </c>
      <c r="AA68" s="41">
        <f t="shared" ca="1" si="91"/>
        <v>0</v>
      </c>
      <c r="AB68" s="41">
        <f t="shared" ca="1" si="91"/>
        <v>0</v>
      </c>
      <c r="AC68" s="41">
        <f t="shared" ca="1" si="91"/>
        <v>0</v>
      </c>
      <c r="AD68" s="41">
        <f t="shared" ca="1" si="92"/>
        <v>0</v>
      </c>
      <c r="AE68" s="41">
        <f t="shared" ca="1" si="92"/>
        <v>0</v>
      </c>
      <c r="AF68" s="41">
        <f t="shared" ca="1" si="92"/>
        <v>0</v>
      </c>
      <c r="AG68" s="41">
        <f t="shared" ca="1" si="92"/>
        <v>0</v>
      </c>
      <c r="AH68" s="41">
        <f t="shared" ca="1" si="92"/>
        <v>0</v>
      </c>
      <c r="AI68" s="41">
        <f t="shared" ca="1" si="92"/>
        <v>0</v>
      </c>
      <c r="AJ68" s="41">
        <f t="shared" ca="1" si="92"/>
        <v>0</v>
      </c>
      <c r="AK68" s="41">
        <f t="shared" ca="1" si="92"/>
        <v>0</v>
      </c>
      <c r="AL68" s="41">
        <f t="shared" ca="1" si="92"/>
        <v>0</v>
      </c>
      <c r="AM68" s="41">
        <f t="shared" ca="1" si="92"/>
        <v>0</v>
      </c>
      <c r="AN68" s="41">
        <f t="shared" ca="1" si="92"/>
        <v>0</v>
      </c>
      <c r="AO68" s="41">
        <f t="shared" ca="1" si="92"/>
        <v>0</v>
      </c>
      <c r="AP68" s="41">
        <f t="shared" ca="1" si="92"/>
        <v>-0.49092710974939724</v>
      </c>
      <c r="AQ68" s="41">
        <f t="shared" ca="1" si="92"/>
        <v>1.9818812879919452</v>
      </c>
      <c r="AR68" s="41">
        <f t="shared" ca="1" si="92"/>
        <v>-0.49092710974939724</v>
      </c>
      <c r="AS68" s="41">
        <f t="shared" ca="1" si="92"/>
        <v>0</v>
      </c>
      <c r="AT68" s="41">
        <f t="shared" ca="1" si="92"/>
        <v>0</v>
      </c>
      <c r="AU68" s="41">
        <f t="shared" ca="1" si="92"/>
        <v>0</v>
      </c>
      <c r="AV68" s="41">
        <f t="shared" ca="1" si="92"/>
        <v>0</v>
      </c>
      <c r="AW68" s="41">
        <f t="shared" ca="1" si="92"/>
        <v>0</v>
      </c>
      <c r="AX68" s="41">
        <f t="shared" ca="1" si="92"/>
        <v>0</v>
      </c>
      <c r="AY68" s="41">
        <f t="shared" ca="1" si="92"/>
        <v>0</v>
      </c>
      <c r="AZ68" s="41">
        <f t="shared" ca="1" si="92"/>
        <v>0</v>
      </c>
      <c r="BA68" s="41">
        <f t="shared" ca="1" si="92"/>
        <v>0</v>
      </c>
      <c r="BB68" s="41">
        <f t="shared" ca="1" si="92"/>
        <v>0</v>
      </c>
      <c r="BC68" s="41">
        <f t="shared" ca="1" si="92"/>
        <v>0</v>
      </c>
      <c r="BD68" s="41">
        <f t="shared" ca="1" si="92"/>
        <v>0</v>
      </c>
      <c r="BE68" s="41">
        <f t="shared" ca="1" si="92"/>
        <v>0</v>
      </c>
      <c r="BF68" s="41">
        <f t="shared" ca="1" si="92"/>
        <v>0</v>
      </c>
      <c r="BG68" s="41">
        <f t="shared" ca="1" si="92"/>
        <v>0</v>
      </c>
      <c r="BH68" s="44">
        <f t="shared" ref="BH68:BH84" ca="1" si="93">IF(BH$35/$I68=1,OFFSET($J$30,1,$I68),IF((BH$35-1)/$I68=1,OFFSET($J$30,2,$I68),IF((BH$35-2)/$I68=1,OFFSET($J$30,3,$I68),0)))</f>
        <v>0</v>
      </c>
    </row>
    <row r="69" spans="1:60" s="49" customFormat="1" x14ac:dyDescent="0.25">
      <c r="A69" s="26"/>
      <c r="H69" s="36"/>
      <c r="I69" s="26">
        <f t="shared" si="89"/>
        <v>34</v>
      </c>
      <c r="J69" s="44">
        <f t="shared" ca="1" si="88"/>
        <v>0</v>
      </c>
      <c r="K69" s="41">
        <f t="shared" ca="1" si="88"/>
        <v>0</v>
      </c>
      <c r="L69" s="41">
        <f t="shared" ca="1" si="88"/>
        <v>0</v>
      </c>
      <c r="M69" s="41">
        <f t="shared" ca="1" si="88"/>
        <v>0</v>
      </c>
      <c r="N69" s="41">
        <f t="shared" ca="1" si="88"/>
        <v>0</v>
      </c>
      <c r="O69" s="41">
        <f t="shared" ca="1" si="88"/>
        <v>0</v>
      </c>
      <c r="P69" s="41">
        <f t="shared" ca="1" si="88"/>
        <v>0</v>
      </c>
      <c r="Q69" s="41">
        <f t="shared" ca="1" si="88"/>
        <v>0</v>
      </c>
      <c r="R69" s="41">
        <f t="shared" ca="1" si="88"/>
        <v>0</v>
      </c>
      <c r="S69" s="41">
        <f t="shared" ca="1" si="88"/>
        <v>0</v>
      </c>
      <c r="T69" s="41">
        <f t="shared" ca="1" si="91"/>
        <v>0</v>
      </c>
      <c r="U69" s="41">
        <f t="shared" ca="1" si="91"/>
        <v>0</v>
      </c>
      <c r="V69" s="41">
        <f t="shared" ca="1" si="91"/>
        <v>0</v>
      </c>
      <c r="W69" s="41">
        <f t="shared" ca="1" si="91"/>
        <v>0</v>
      </c>
      <c r="X69" s="41">
        <f t="shared" ca="1" si="91"/>
        <v>0</v>
      </c>
      <c r="Y69" s="41">
        <f t="shared" ca="1" si="91"/>
        <v>0</v>
      </c>
      <c r="Z69" s="41">
        <f t="shared" ca="1" si="91"/>
        <v>0</v>
      </c>
      <c r="AA69" s="41">
        <f t="shared" ca="1" si="91"/>
        <v>0</v>
      </c>
      <c r="AB69" s="41">
        <f t="shared" ca="1" si="91"/>
        <v>0</v>
      </c>
      <c r="AC69" s="41">
        <f t="shared" ca="1" si="91"/>
        <v>0</v>
      </c>
      <c r="AD69" s="41">
        <f t="shared" ca="1" si="92"/>
        <v>0</v>
      </c>
      <c r="AE69" s="41">
        <f t="shared" ca="1" si="92"/>
        <v>0</v>
      </c>
      <c r="AF69" s="41">
        <f t="shared" ca="1" si="92"/>
        <v>0</v>
      </c>
      <c r="AG69" s="41">
        <f t="shared" ca="1" si="92"/>
        <v>0</v>
      </c>
      <c r="AH69" s="41">
        <f t="shared" ca="1" si="92"/>
        <v>0</v>
      </c>
      <c r="AI69" s="41">
        <f t="shared" ca="1" si="92"/>
        <v>0</v>
      </c>
      <c r="AJ69" s="41">
        <f t="shared" ca="1" si="92"/>
        <v>0</v>
      </c>
      <c r="AK69" s="41">
        <f t="shared" ca="1" si="92"/>
        <v>0</v>
      </c>
      <c r="AL69" s="41">
        <f t="shared" ca="1" si="92"/>
        <v>0</v>
      </c>
      <c r="AM69" s="41">
        <f t="shared" ca="1" si="92"/>
        <v>0</v>
      </c>
      <c r="AN69" s="41">
        <f t="shared" ca="1" si="92"/>
        <v>0</v>
      </c>
      <c r="AO69" s="41">
        <f t="shared" ca="1" si="92"/>
        <v>0</v>
      </c>
      <c r="AP69" s="41">
        <f t="shared" ca="1" si="92"/>
        <v>0</v>
      </c>
      <c r="AQ69" s="41">
        <f t="shared" ca="1" si="92"/>
        <v>-0.52113107334279452</v>
      </c>
      <c r="AR69" s="41">
        <f t="shared" ca="1" si="92"/>
        <v>2.0422892151787395</v>
      </c>
      <c r="AS69" s="41">
        <f t="shared" ca="1" si="92"/>
        <v>-0.52113107334279452</v>
      </c>
      <c r="AT69" s="41">
        <f t="shared" ca="1" si="92"/>
        <v>0</v>
      </c>
      <c r="AU69" s="41">
        <f t="shared" ca="1" si="92"/>
        <v>0</v>
      </c>
      <c r="AV69" s="41">
        <f t="shared" ca="1" si="92"/>
        <v>0</v>
      </c>
      <c r="AW69" s="41">
        <f t="shared" ca="1" si="92"/>
        <v>0</v>
      </c>
      <c r="AX69" s="41">
        <f t="shared" ca="1" si="92"/>
        <v>0</v>
      </c>
      <c r="AY69" s="41">
        <f t="shared" ca="1" si="92"/>
        <v>0</v>
      </c>
      <c r="AZ69" s="41">
        <f t="shared" ca="1" si="92"/>
        <v>0</v>
      </c>
      <c r="BA69" s="41">
        <f t="shared" ca="1" si="92"/>
        <v>0</v>
      </c>
      <c r="BB69" s="41">
        <f t="shared" ca="1" si="92"/>
        <v>0</v>
      </c>
      <c r="BC69" s="41">
        <f t="shared" ca="1" si="92"/>
        <v>0</v>
      </c>
      <c r="BD69" s="41">
        <f t="shared" ca="1" si="92"/>
        <v>0</v>
      </c>
      <c r="BE69" s="41">
        <f t="shared" ca="1" si="92"/>
        <v>0</v>
      </c>
      <c r="BF69" s="41">
        <f t="shared" ca="1" si="92"/>
        <v>0</v>
      </c>
      <c r="BG69" s="41">
        <f t="shared" ca="1" si="92"/>
        <v>0</v>
      </c>
      <c r="BH69" s="44">
        <f t="shared" ca="1" si="93"/>
        <v>0</v>
      </c>
    </row>
    <row r="70" spans="1:60" s="49" customFormat="1" x14ac:dyDescent="0.25">
      <c r="A70" s="26"/>
      <c r="H70" s="36"/>
      <c r="I70" s="26">
        <f t="shared" si="89"/>
        <v>35</v>
      </c>
      <c r="J70" s="44">
        <f t="shared" ca="1" si="88"/>
        <v>0</v>
      </c>
      <c r="K70" s="41">
        <f t="shared" ca="1" si="88"/>
        <v>0</v>
      </c>
      <c r="L70" s="41">
        <f t="shared" ca="1" si="88"/>
        <v>0</v>
      </c>
      <c r="M70" s="41">
        <f t="shared" ca="1" si="88"/>
        <v>0</v>
      </c>
      <c r="N70" s="41">
        <f t="shared" ca="1" si="88"/>
        <v>0</v>
      </c>
      <c r="O70" s="41">
        <f t="shared" ca="1" si="88"/>
        <v>0</v>
      </c>
      <c r="P70" s="41">
        <f t="shared" ca="1" si="88"/>
        <v>0</v>
      </c>
      <c r="Q70" s="41">
        <f t="shared" ca="1" si="88"/>
        <v>0</v>
      </c>
      <c r="R70" s="41">
        <f t="shared" ca="1" si="88"/>
        <v>0</v>
      </c>
      <c r="S70" s="41">
        <f t="shared" ca="1" si="88"/>
        <v>0</v>
      </c>
      <c r="T70" s="41">
        <f t="shared" ca="1" si="91"/>
        <v>0</v>
      </c>
      <c r="U70" s="41">
        <f t="shared" ca="1" si="91"/>
        <v>0</v>
      </c>
      <c r="V70" s="41">
        <f t="shared" ca="1" si="91"/>
        <v>0</v>
      </c>
      <c r="W70" s="41">
        <f t="shared" ca="1" si="91"/>
        <v>0</v>
      </c>
      <c r="X70" s="41">
        <f t="shared" ca="1" si="91"/>
        <v>0</v>
      </c>
      <c r="Y70" s="41">
        <f t="shared" ca="1" si="91"/>
        <v>0</v>
      </c>
      <c r="Z70" s="41">
        <f t="shared" ca="1" si="91"/>
        <v>0</v>
      </c>
      <c r="AA70" s="41">
        <f t="shared" ca="1" si="91"/>
        <v>0</v>
      </c>
      <c r="AB70" s="41">
        <f t="shared" ca="1" si="91"/>
        <v>0</v>
      </c>
      <c r="AC70" s="41">
        <f t="shared" ca="1" si="91"/>
        <v>0</v>
      </c>
      <c r="AD70" s="41">
        <f t="shared" ca="1" si="92"/>
        <v>0</v>
      </c>
      <c r="AE70" s="41">
        <f t="shared" ca="1" si="92"/>
        <v>0</v>
      </c>
      <c r="AF70" s="41">
        <f t="shared" ca="1" si="92"/>
        <v>0</v>
      </c>
      <c r="AG70" s="41">
        <f t="shared" ca="1" si="92"/>
        <v>0</v>
      </c>
      <c r="AH70" s="41">
        <f t="shared" ca="1" si="92"/>
        <v>0</v>
      </c>
      <c r="AI70" s="41">
        <f t="shared" ca="1" si="92"/>
        <v>0</v>
      </c>
      <c r="AJ70" s="41">
        <f t="shared" ca="1" si="92"/>
        <v>0</v>
      </c>
      <c r="AK70" s="41">
        <f t="shared" ca="1" si="92"/>
        <v>0</v>
      </c>
      <c r="AL70" s="41">
        <f t="shared" ca="1" si="92"/>
        <v>0</v>
      </c>
      <c r="AM70" s="41">
        <f t="shared" ca="1" si="92"/>
        <v>0</v>
      </c>
      <c r="AN70" s="41">
        <f t="shared" ca="1" si="92"/>
        <v>0</v>
      </c>
      <c r="AO70" s="41">
        <f t="shared" ca="1" si="92"/>
        <v>0</v>
      </c>
      <c r="AP70" s="41">
        <f t="shared" ca="1" si="92"/>
        <v>0</v>
      </c>
      <c r="AQ70" s="41">
        <f t="shared" ca="1" si="92"/>
        <v>0</v>
      </c>
      <c r="AR70" s="41">
        <f t="shared" ca="1" si="92"/>
        <v>-0.55223664778972603</v>
      </c>
      <c r="AS70" s="41">
        <f t="shared" ca="1" si="92"/>
        <v>2.1045003640726025</v>
      </c>
      <c r="AT70" s="41">
        <f t="shared" ca="1" si="92"/>
        <v>-0.55223664778972603</v>
      </c>
      <c r="AU70" s="41">
        <f t="shared" ca="1" si="92"/>
        <v>0</v>
      </c>
      <c r="AV70" s="41">
        <f t="shared" ref="AD70:BG79" ca="1" si="94">IF(AV$35/$I70=1,OFFSET($J$30,1,$I70),IF((AV$35-1)/$I70=1,OFFSET($J$30,2,$I70),IF((AV$35-2)/$I70=1,OFFSET($J$30,3,$I70),0)))</f>
        <v>0</v>
      </c>
      <c r="AW70" s="41">
        <f t="shared" ca="1" si="94"/>
        <v>0</v>
      </c>
      <c r="AX70" s="41">
        <f t="shared" ca="1" si="94"/>
        <v>0</v>
      </c>
      <c r="AY70" s="41">
        <f t="shared" ca="1" si="94"/>
        <v>0</v>
      </c>
      <c r="AZ70" s="41">
        <f t="shared" ca="1" si="94"/>
        <v>0</v>
      </c>
      <c r="BA70" s="41">
        <f t="shared" ca="1" si="94"/>
        <v>0</v>
      </c>
      <c r="BB70" s="41">
        <f t="shared" ca="1" si="94"/>
        <v>0</v>
      </c>
      <c r="BC70" s="41">
        <f t="shared" ca="1" si="94"/>
        <v>0</v>
      </c>
      <c r="BD70" s="41">
        <f t="shared" ca="1" si="94"/>
        <v>0</v>
      </c>
      <c r="BE70" s="41">
        <f t="shared" ca="1" si="94"/>
        <v>0</v>
      </c>
      <c r="BF70" s="41">
        <f t="shared" ca="1" si="94"/>
        <v>0</v>
      </c>
      <c r="BG70" s="41">
        <f t="shared" ca="1" si="94"/>
        <v>0</v>
      </c>
      <c r="BH70" s="44">
        <f t="shared" ca="1" si="93"/>
        <v>0</v>
      </c>
    </row>
    <row r="71" spans="1:60" s="49" customFormat="1" x14ac:dyDescent="0.25">
      <c r="A71" s="26"/>
      <c r="H71" s="36"/>
      <c r="I71" s="26">
        <f t="shared" si="89"/>
        <v>36</v>
      </c>
      <c r="J71" s="44">
        <f t="shared" ca="1" si="88"/>
        <v>0</v>
      </c>
      <c r="K71" s="41">
        <f t="shared" ca="1" si="88"/>
        <v>0</v>
      </c>
      <c r="L71" s="41">
        <f t="shared" ca="1" si="88"/>
        <v>0</v>
      </c>
      <c r="M71" s="41">
        <f t="shared" ca="1" si="88"/>
        <v>0</v>
      </c>
      <c r="N71" s="41">
        <f t="shared" ca="1" si="88"/>
        <v>0</v>
      </c>
      <c r="O71" s="41">
        <f t="shared" ca="1" si="88"/>
        <v>0</v>
      </c>
      <c r="P71" s="41">
        <f t="shared" ca="1" si="88"/>
        <v>0</v>
      </c>
      <c r="Q71" s="41">
        <f t="shared" ca="1" si="88"/>
        <v>0</v>
      </c>
      <c r="R71" s="41">
        <f t="shared" ca="1" si="88"/>
        <v>0</v>
      </c>
      <c r="S71" s="41">
        <f t="shared" ca="1" si="88"/>
        <v>0</v>
      </c>
      <c r="T71" s="41">
        <f t="shared" ca="1" si="91"/>
        <v>0</v>
      </c>
      <c r="U71" s="41">
        <f t="shared" ca="1" si="91"/>
        <v>0</v>
      </c>
      <c r="V71" s="41">
        <f t="shared" ca="1" si="91"/>
        <v>0</v>
      </c>
      <c r="W71" s="41">
        <f t="shared" ca="1" si="91"/>
        <v>0</v>
      </c>
      <c r="X71" s="41">
        <f t="shared" ca="1" si="91"/>
        <v>0</v>
      </c>
      <c r="Y71" s="41">
        <f t="shared" ca="1" si="91"/>
        <v>0</v>
      </c>
      <c r="Z71" s="41">
        <f t="shared" ca="1" si="91"/>
        <v>0</v>
      </c>
      <c r="AA71" s="41">
        <f t="shared" ca="1" si="91"/>
        <v>0</v>
      </c>
      <c r="AB71" s="41">
        <f t="shared" ca="1" si="91"/>
        <v>0</v>
      </c>
      <c r="AC71" s="41">
        <f t="shared" ca="1" si="91"/>
        <v>0</v>
      </c>
      <c r="AD71" s="41">
        <f t="shared" ca="1" si="94"/>
        <v>0</v>
      </c>
      <c r="AE71" s="41">
        <f t="shared" ca="1" si="94"/>
        <v>0</v>
      </c>
      <c r="AF71" s="41">
        <f t="shared" ca="1" si="94"/>
        <v>0</v>
      </c>
      <c r="AG71" s="41">
        <f t="shared" ca="1" si="94"/>
        <v>0</v>
      </c>
      <c r="AH71" s="41">
        <f t="shared" ca="1" si="94"/>
        <v>0</v>
      </c>
      <c r="AI71" s="41">
        <f t="shared" ca="1" si="94"/>
        <v>0</v>
      </c>
      <c r="AJ71" s="41">
        <f t="shared" ca="1" si="94"/>
        <v>0</v>
      </c>
      <c r="AK71" s="41">
        <f t="shared" ca="1" si="94"/>
        <v>0</v>
      </c>
      <c r="AL71" s="41">
        <f t="shared" ca="1" si="94"/>
        <v>0</v>
      </c>
      <c r="AM71" s="41">
        <f t="shared" ca="1" si="94"/>
        <v>0</v>
      </c>
      <c r="AN71" s="41">
        <f t="shared" ca="1" si="94"/>
        <v>0</v>
      </c>
      <c r="AO71" s="41">
        <f t="shared" ca="1" si="94"/>
        <v>0</v>
      </c>
      <c r="AP71" s="41">
        <f t="shared" ca="1" si="94"/>
        <v>0</v>
      </c>
      <c r="AQ71" s="41">
        <f t="shared" ca="1" si="94"/>
        <v>0</v>
      </c>
      <c r="AR71" s="41">
        <f t="shared" ca="1" si="94"/>
        <v>0</v>
      </c>
      <c r="AS71" s="41">
        <f t="shared" ca="1" si="94"/>
        <v>-0.58424383309019179</v>
      </c>
      <c r="AT71" s="41">
        <f t="shared" ca="1" si="94"/>
        <v>2.1685147346735341</v>
      </c>
      <c r="AU71" s="41">
        <f t="shared" ca="1" si="94"/>
        <v>-0.58424383309019179</v>
      </c>
      <c r="AV71" s="41">
        <f t="shared" ca="1" si="94"/>
        <v>0</v>
      </c>
      <c r="AW71" s="41">
        <f t="shared" ca="1" si="94"/>
        <v>0</v>
      </c>
      <c r="AX71" s="41">
        <f t="shared" ca="1" si="94"/>
        <v>0</v>
      </c>
      <c r="AY71" s="41">
        <f t="shared" ca="1" si="94"/>
        <v>0</v>
      </c>
      <c r="AZ71" s="41">
        <f t="shared" ca="1" si="94"/>
        <v>0</v>
      </c>
      <c r="BA71" s="41">
        <f t="shared" ca="1" si="94"/>
        <v>0</v>
      </c>
      <c r="BB71" s="41">
        <f t="shared" ca="1" si="94"/>
        <v>0</v>
      </c>
      <c r="BC71" s="41">
        <f t="shared" ca="1" si="94"/>
        <v>0</v>
      </c>
      <c r="BD71" s="41">
        <f t="shared" ca="1" si="94"/>
        <v>0</v>
      </c>
      <c r="BE71" s="41">
        <f t="shared" ca="1" si="94"/>
        <v>0</v>
      </c>
      <c r="BF71" s="41">
        <f t="shared" ca="1" si="94"/>
        <v>0</v>
      </c>
      <c r="BG71" s="41">
        <f t="shared" ca="1" si="94"/>
        <v>0</v>
      </c>
      <c r="BH71" s="44">
        <f t="shared" ca="1" si="93"/>
        <v>0</v>
      </c>
    </row>
    <row r="72" spans="1:60" s="49" customFormat="1" x14ac:dyDescent="0.25">
      <c r="A72" s="26"/>
      <c r="H72" s="36"/>
      <c r="I72" s="26">
        <f t="shared" si="89"/>
        <v>37</v>
      </c>
      <c r="J72" s="44">
        <f t="shared" ca="1" si="88"/>
        <v>0</v>
      </c>
      <c r="K72" s="41">
        <f t="shared" ca="1" si="88"/>
        <v>0</v>
      </c>
      <c r="L72" s="41">
        <f t="shared" ca="1" si="88"/>
        <v>0</v>
      </c>
      <c r="M72" s="41">
        <f t="shared" ca="1" si="88"/>
        <v>0</v>
      </c>
      <c r="N72" s="41">
        <f t="shared" ca="1" si="88"/>
        <v>0</v>
      </c>
      <c r="O72" s="41">
        <f t="shared" ca="1" si="88"/>
        <v>0</v>
      </c>
      <c r="P72" s="41">
        <f t="shared" ca="1" si="88"/>
        <v>0</v>
      </c>
      <c r="Q72" s="41">
        <f t="shared" ca="1" si="88"/>
        <v>0</v>
      </c>
      <c r="R72" s="41">
        <f t="shared" ca="1" si="88"/>
        <v>0</v>
      </c>
      <c r="S72" s="41">
        <f t="shared" ca="1" si="88"/>
        <v>0</v>
      </c>
      <c r="T72" s="41">
        <f t="shared" ca="1" si="91"/>
        <v>0</v>
      </c>
      <c r="U72" s="41">
        <f t="shared" ca="1" si="91"/>
        <v>0</v>
      </c>
      <c r="V72" s="41">
        <f t="shared" ca="1" si="91"/>
        <v>0</v>
      </c>
      <c r="W72" s="41">
        <f t="shared" ca="1" si="91"/>
        <v>0</v>
      </c>
      <c r="X72" s="41">
        <f t="shared" ca="1" si="91"/>
        <v>0</v>
      </c>
      <c r="Y72" s="41">
        <f t="shared" ca="1" si="91"/>
        <v>0</v>
      </c>
      <c r="Z72" s="41">
        <f t="shared" ca="1" si="91"/>
        <v>0</v>
      </c>
      <c r="AA72" s="41">
        <f t="shared" ca="1" si="91"/>
        <v>0</v>
      </c>
      <c r="AB72" s="41">
        <f t="shared" ca="1" si="91"/>
        <v>0</v>
      </c>
      <c r="AC72" s="41">
        <f t="shared" ca="1" si="91"/>
        <v>0</v>
      </c>
      <c r="AD72" s="41">
        <f t="shared" ca="1" si="94"/>
        <v>0</v>
      </c>
      <c r="AE72" s="41">
        <f t="shared" ca="1" si="94"/>
        <v>0</v>
      </c>
      <c r="AF72" s="41">
        <f t="shared" ca="1" si="94"/>
        <v>0</v>
      </c>
      <c r="AG72" s="41">
        <f t="shared" ca="1" si="94"/>
        <v>0</v>
      </c>
      <c r="AH72" s="41">
        <f t="shared" ca="1" si="94"/>
        <v>0</v>
      </c>
      <c r="AI72" s="41">
        <f t="shared" ca="1" si="94"/>
        <v>0</v>
      </c>
      <c r="AJ72" s="41">
        <f t="shared" ca="1" si="94"/>
        <v>0</v>
      </c>
      <c r="AK72" s="41">
        <f t="shared" ca="1" si="94"/>
        <v>0</v>
      </c>
      <c r="AL72" s="41">
        <f t="shared" ca="1" si="94"/>
        <v>0</v>
      </c>
      <c r="AM72" s="41">
        <f t="shared" ca="1" si="94"/>
        <v>0</v>
      </c>
      <c r="AN72" s="41">
        <f t="shared" ca="1" si="94"/>
        <v>0</v>
      </c>
      <c r="AO72" s="41">
        <f t="shared" ca="1" si="94"/>
        <v>0</v>
      </c>
      <c r="AP72" s="41">
        <f t="shared" ca="1" si="94"/>
        <v>0</v>
      </c>
      <c r="AQ72" s="41">
        <f t="shared" ca="1" si="94"/>
        <v>0</v>
      </c>
      <c r="AR72" s="41">
        <f t="shared" ca="1" si="94"/>
        <v>0</v>
      </c>
      <c r="AS72" s="41">
        <f t="shared" ca="1" si="94"/>
        <v>0</v>
      </c>
      <c r="AT72" s="41">
        <f t="shared" ca="1" si="94"/>
        <v>-0.61715262924419168</v>
      </c>
      <c r="AU72" s="41">
        <f t="shared" ca="1" si="94"/>
        <v>2.2343323269815341</v>
      </c>
      <c r="AV72" s="41">
        <f t="shared" ca="1" si="94"/>
        <v>-0.61715262924419168</v>
      </c>
      <c r="AW72" s="41">
        <f t="shared" ca="1" si="94"/>
        <v>0</v>
      </c>
      <c r="AX72" s="41">
        <f t="shared" ca="1" si="94"/>
        <v>0</v>
      </c>
      <c r="AY72" s="41">
        <f t="shared" ca="1" si="94"/>
        <v>0</v>
      </c>
      <c r="AZ72" s="41">
        <f t="shared" ca="1" si="94"/>
        <v>0</v>
      </c>
      <c r="BA72" s="41">
        <f t="shared" ca="1" si="94"/>
        <v>0</v>
      </c>
      <c r="BB72" s="41">
        <f t="shared" ca="1" si="94"/>
        <v>0</v>
      </c>
      <c r="BC72" s="41">
        <f t="shared" ca="1" si="94"/>
        <v>0</v>
      </c>
      <c r="BD72" s="41">
        <f t="shared" ca="1" si="94"/>
        <v>0</v>
      </c>
      <c r="BE72" s="41">
        <f t="shared" ca="1" si="94"/>
        <v>0</v>
      </c>
      <c r="BF72" s="41">
        <f t="shared" ca="1" si="94"/>
        <v>0</v>
      </c>
      <c r="BG72" s="41">
        <f t="shared" ca="1" si="94"/>
        <v>0</v>
      </c>
      <c r="BH72" s="44">
        <f t="shared" ca="1" si="93"/>
        <v>0</v>
      </c>
    </row>
    <row r="73" spans="1:60" s="49" customFormat="1" x14ac:dyDescent="0.25">
      <c r="A73" s="26"/>
      <c r="H73" s="36"/>
      <c r="I73" s="26">
        <f t="shared" si="89"/>
        <v>38</v>
      </c>
      <c r="J73" s="44">
        <f t="shared" ca="1" si="88"/>
        <v>0</v>
      </c>
      <c r="K73" s="41">
        <f t="shared" ca="1" si="88"/>
        <v>0</v>
      </c>
      <c r="L73" s="41">
        <f t="shared" ca="1" si="88"/>
        <v>0</v>
      </c>
      <c r="M73" s="41">
        <f t="shared" ca="1" si="88"/>
        <v>0</v>
      </c>
      <c r="N73" s="41">
        <f t="shared" ca="1" si="88"/>
        <v>0</v>
      </c>
      <c r="O73" s="41">
        <f t="shared" ca="1" si="88"/>
        <v>0</v>
      </c>
      <c r="P73" s="41">
        <f t="shared" ca="1" si="88"/>
        <v>0</v>
      </c>
      <c r="Q73" s="41">
        <f t="shared" ca="1" si="88"/>
        <v>0</v>
      </c>
      <c r="R73" s="41">
        <f t="shared" ca="1" si="88"/>
        <v>0</v>
      </c>
      <c r="S73" s="41">
        <f t="shared" ca="1" si="88"/>
        <v>0</v>
      </c>
      <c r="T73" s="41">
        <f t="shared" ca="1" si="91"/>
        <v>0</v>
      </c>
      <c r="U73" s="41">
        <f t="shared" ca="1" si="91"/>
        <v>0</v>
      </c>
      <c r="V73" s="41">
        <f t="shared" ca="1" si="91"/>
        <v>0</v>
      </c>
      <c r="W73" s="41">
        <f t="shared" ca="1" si="91"/>
        <v>0</v>
      </c>
      <c r="X73" s="41">
        <f t="shared" ca="1" si="91"/>
        <v>0</v>
      </c>
      <c r="Y73" s="41">
        <f t="shared" ca="1" si="91"/>
        <v>0</v>
      </c>
      <c r="Z73" s="41">
        <f t="shared" ca="1" si="91"/>
        <v>0</v>
      </c>
      <c r="AA73" s="41">
        <f t="shared" ca="1" si="91"/>
        <v>0</v>
      </c>
      <c r="AB73" s="41">
        <f t="shared" ca="1" si="91"/>
        <v>0</v>
      </c>
      <c r="AC73" s="41">
        <f t="shared" ca="1" si="91"/>
        <v>0</v>
      </c>
      <c r="AD73" s="41">
        <f t="shared" ca="1" si="94"/>
        <v>0</v>
      </c>
      <c r="AE73" s="41">
        <f t="shared" ca="1" si="94"/>
        <v>0</v>
      </c>
      <c r="AF73" s="41">
        <f t="shared" ca="1" si="94"/>
        <v>0</v>
      </c>
      <c r="AG73" s="41">
        <f t="shared" ca="1" si="94"/>
        <v>0</v>
      </c>
      <c r="AH73" s="41">
        <f t="shared" ca="1" si="94"/>
        <v>0</v>
      </c>
      <c r="AI73" s="41">
        <f t="shared" ca="1" si="94"/>
        <v>0</v>
      </c>
      <c r="AJ73" s="41">
        <f t="shared" ca="1" si="94"/>
        <v>0</v>
      </c>
      <c r="AK73" s="41">
        <f t="shared" ca="1" si="94"/>
        <v>0</v>
      </c>
      <c r="AL73" s="41">
        <f t="shared" ca="1" si="94"/>
        <v>0</v>
      </c>
      <c r="AM73" s="41">
        <f t="shared" ca="1" si="94"/>
        <v>0</v>
      </c>
      <c r="AN73" s="41">
        <f t="shared" ca="1" si="94"/>
        <v>0</v>
      </c>
      <c r="AO73" s="41">
        <f t="shared" ca="1" si="94"/>
        <v>0</v>
      </c>
      <c r="AP73" s="41">
        <f t="shared" ca="1" si="94"/>
        <v>0</v>
      </c>
      <c r="AQ73" s="41">
        <f t="shared" ca="1" si="94"/>
        <v>0</v>
      </c>
      <c r="AR73" s="41">
        <f t="shared" ca="1" si="94"/>
        <v>0</v>
      </c>
      <c r="AS73" s="41">
        <f t="shared" ca="1" si="94"/>
        <v>0</v>
      </c>
      <c r="AT73" s="41">
        <f t="shared" ca="1" si="94"/>
        <v>0</v>
      </c>
      <c r="AU73" s="41">
        <f t="shared" ca="1" si="94"/>
        <v>-0.65096303625172591</v>
      </c>
      <c r="AV73" s="41">
        <f t="shared" ca="1" si="94"/>
        <v>2.3019531409966025</v>
      </c>
      <c r="AW73" s="41">
        <f t="shared" ca="1" si="94"/>
        <v>-0.65096303625172591</v>
      </c>
      <c r="AX73" s="41">
        <f t="shared" ca="1" si="94"/>
        <v>0</v>
      </c>
      <c r="AY73" s="41">
        <f t="shared" ca="1" si="94"/>
        <v>0</v>
      </c>
      <c r="AZ73" s="41">
        <f t="shared" ca="1" si="94"/>
        <v>0</v>
      </c>
      <c r="BA73" s="41">
        <f t="shared" ca="1" si="94"/>
        <v>0</v>
      </c>
      <c r="BB73" s="41">
        <f t="shared" ca="1" si="94"/>
        <v>0</v>
      </c>
      <c r="BC73" s="41">
        <f t="shared" ca="1" si="94"/>
        <v>0</v>
      </c>
      <c r="BD73" s="41">
        <f t="shared" ca="1" si="94"/>
        <v>0</v>
      </c>
      <c r="BE73" s="41">
        <f t="shared" ca="1" si="94"/>
        <v>0</v>
      </c>
      <c r="BF73" s="41">
        <f t="shared" ca="1" si="94"/>
        <v>0</v>
      </c>
      <c r="BG73" s="41">
        <f t="shared" ca="1" si="94"/>
        <v>0</v>
      </c>
      <c r="BH73" s="44">
        <f t="shared" ca="1" si="93"/>
        <v>0</v>
      </c>
    </row>
    <row r="74" spans="1:60" s="49" customFormat="1" x14ac:dyDescent="0.25">
      <c r="A74" s="26"/>
      <c r="H74" s="36"/>
      <c r="I74" s="26">
        <f t="shared" si="89"/>
        <v>39</v>
      </c>
      <c r="J74" s="44">
        <f t="shared" ca="1" si="88"/>
        <v>0</v>
      </c>
      <c r="K74" s="41">
        <f t="shared" ca="1" si="88"/>
        <v>0</v>
      </c>
      <c r="L74" s="41">
        <f t="shared" ca="1" si="88"/>
        <v>0</v>
      </c>
      <c r="M74" s="41">
        <f t="shared" ca="1" si="88"/>
        <v>0</v>
      </c>
      <c r="N74" s="41">
        <f t="shared" ca="1" si="88"/>
        <v>0</v>
      </c>
      <c r="O74" s="41">
        <f t="shared" ca="1" si="88"/>
        <v>0</v>
      </c>
      <c r="P74" s="41">
        <f t="shared" ca="1" si="88"/>
        <v>0</v>
      </c>
      <c r="Q74" s="41">
        <f t="shared" ca="1" si="88"/>
        <v>0</v>
      </c>
      <c r="R74" s="41">
        <f t="shared" ca="1" si="88"/>
        <v>0</v>
      </c>
      <c r="S74" s="41">
        <f t="shared" ca="1" si="88"/>
        <v>0</v>
      </c>
      <c r="T74" s="41">
        <f t="shared" ca="1" si="91"/>
        <v>0</v>
      </c>
      <c r="U74" s="41">
        <f t="shared" ca="1" si="91"/>
        <v>0</v>
      </c>
      <c r="V74" s="41">
        <f t="shared" ca="1" si="91"/>
        <v>0</v>
      </c>
      <c r="W74" s="41">
        <f t="shared" ca="1" si="91"/>
        <v>0</v>
      </c>
      <c r="X74" s="41">
        <f t="shared" ca="1" si="91"/>
        <v>0</v>
      </c>
      <c r="Y74" s="41">
        <f t="shared" ca="1" si="91"/>
        <v>0</v>
      </c>
      <c r="Z74" s="41">
        <f t="shared" ca="1" si="91"/>
        <v>0</v>
      </c>
      <c r="AA74" s="41">
        <f t="shared" ca="1" si="91"/>
        <v>0</v>
      </c>
      <c r="AB74" s="41">
        <f t="shared" ca="1" si="91"/>
        <v>0</v>
      </c>
      <c r="AC74" s="41">
        <f t="shared" ca="1" si="91"/>
        <v>0</v>
      </c>
      <c r="AD74" s="41">
        <f t="shared" ca="1" si="94"/>
        <v>0</v>
      </c>
      <c r="AE74" s="41">
        <f t="shared" ca="1" si="94"/>
        <v>0</v>
      </c>
      <c r="AF74" s="41">
        <f t="shared" ca="1" si="94"/>
        <v>0</v>
      </c>
      <c r="AG74" s="41">
        <f t="shared" ca="1" si="94"/>
        <v>0</v>
      </c>
      <c r="AH74" s="41">
        <f t="shared" ca="1" si="94"/>
        <v>0</v>
      </c>
      <c r="AI74" s="41">
        <f t="shared" ca="1" si="94"/>
        <v>0</v>
      </c>
      <c r="AJ74" s="41">
        <f t="shared" ca="1" si="94"/>
        <v>0</v>
      </c>
      <c r="AK74" s="41">
        <f t="shared" ca="1" si="94"/>
        <v>0</v>
      </c>
      <c r="AL74" s="41">
        <f t="shared" ca="1" si="94"/>
        <v>0</v>
      </c>
      <c r="AM74" s="41">
        <f t="shared" ca="1" si="94"/>
        <v>0</v>
      </c>
      <c r="AN74" s="41">
        <f t="shared" ca="1" si="94"/>
        <v>0</v>
      </c>
      <c r="AO74" s="41">
        <f t="shared" ca="1" si="94"/>
        <v>0</v>
      </c>
      <c r="AP74" s="41">
        <f t="shared" ca="1" si="94"/>
        <v>0</v>
      </c>
      <c r="AQ74" s="41">
        <f t="shared" ca="1" si="94"/>
        <v>0</v>
      </c>
      <c r="AR74" s="41">
        <f t="shared" ca="1" si="94"/>
        <v>0</v>
      </c>
      <c r="AS74" s="41">
        <f t="shared" ca="1" si="94"/>
        <v>0</v>
      </c>
      <c r="AT74" s="41">
        <f t="shared" ca="1" si="94"/>
        <v>0</v>
      </c>
      <c r="AU74" s="41">
        <f t="shared" ca="1" si="94"/>
        <v>0</v>
      </c>
      <c r="AV74" s="41">
        <f t="shared" ca="1" si="94"/>
        <v>-0.68567505411279439</v>
      </c>
      <c r="AW74" s="41">
        <f t="shared" ca="1" si="94"/>
        <v>2.3713771767187395</v>
      </c>
      <c r="AX74" s="41">
        <f t="shared" ca="1" si="94"/>
        <v>-0.68567505411279439</v>
      </c>
      <c r="AY74" s="41">
        <f t="shared" ca="1" si="94"/>
        <v>0</v>
      </c>
      <c r="AZ74" s="41">
        <f t="shared" ca="1" si="94"/>
        <v>0</v>
      </c>
      <c r="BA74" s="41">
        <f t="shared" ca="1" si="94"/>
        <v>0</v>
      </c>
      <c r="BB74" s="41">
        <f t="shared" ca="1" si="94"/>
        <v>0</v>
      </c>
      <c r="BC74" s="41">
        <f t="shared" ca="1" si="94"/>
        <v>0</v>
      </c>
      <c r="BD74" s="41">
        <f t="shared" ca="1" si="94"/>
        <v>0</v>
      </c>
      <c r="BE74" s="41">
        <f t="shared" ca="1" si="94"/>
        <v>0</v>
      </c>
      <c r="BF74" s="41">
        <f t="shared" ca="1" si="94"/>
        <v>0</v>
      </c>
      <c r="BG74" s="41">
        <f t="shared" ca="1" si="94"/>
        <v>0</v>
      </c>
      <c r="BH74" s="44">
        <f t="shared" ca="1" si="93"/>
        <v>0</v>
      </c>
    </row>
    <row r="75" spans="1:60" s="49" customFormat="1" x14ac:dyDescent="0.25">
      <c r="A75" s="26"/>
      <c r="H75" s="36"/>
      <c r="I75" s="26">
        <f t="shared" si="89"/>
        <v>40</v>
      </c>
      <c r="J75" s="44">
        <f t="shared" ca="1" si="88"/>
        <v>0</v>
      </c>
      <c r="K75" s="41">
        <f t="shared" ca="1" si="88"/>
        <v>0</v>
      </c>
      <c r="L75" s="41">
        <f t="shared" ca="1" si="88"/>
        <v>0</v>
      </c>
      <c r="M75" s="41">
        <f t="shared" ca="1" si="88"/>
        <v>0</v>
      </c>
      <c r="N75" s="41">
        <f t="shared" ca="1" si="88"/>
        <v>0</v>
      </c>
      <c r="O75" s="41">
        <f t="shared" ca="1" si="88"/>
        <v>0</v>
      </c>
      <c r="P75" s="41">
        <f t="shared" ca="1" si="88"/>
        <v>0</v>
      </c>
      <c r="Q75" s="41">
        <f t="shared" ca="1" si="88"/>
        <v>0</v>
      </c>
      <c r="R75" s="41">
        <f t="shared" ca="1" si="88"/>
        <v>0</v>
      </c>
      <c r="S75" s="41">
        <f t="shared" ca="1" si="88"/>
        <v>0</v>
      </c>
      <c r="T75" s="41">
        <f t="shared" ca="1" si="91"/>
        <v>0</v>
      </c>
      <c r="U75" s="41">
        <f t="shared" ca="1" si="91"/>
        <v>0</v>
      </c>
      <c r="V75" s="41">
        <f t="shared" ca="1" si="91"/>
        <v>0</v>
      </c>
      <c r="W75" s="41">
        <f t="shared" ca="1" si="91"/>
        <v>0</v>
      </c>
      <c r="X75" s="41">
        <f t="shared" ca="1" si="91"/>
        <v>0</v>
      </c>
      <c r="Y75" s="41">
        <f t="shared" ca="1" si="91"/>
        <v>0</v>
      </c>
      <c r="Z75" s="41">
        <f t="shared" ca="1" si="91"/>
        <v>0</v>
      </c>
      <c r="AA75" s="41">
        <f t="shared" ca="1" si="91"/>
        <v>0</v>
      </c>
      <c r="AB75" s="41">
        <f t="shared" ca="1" si="91"/>
        <v>0</v>
      </c>
      <c r="AC75" s="41">
        <f t="shared" ca="1" si="91"/>
        <v>0</v>
      </c>
      <c r="AD75" s="41">
        <f t="shared" ca="1" si="94"/>
        <v>0</v>
      </c>
      <c r="AE75" s="41">
        <f t="shared" ca="1" si="94"/>
        <v>0</v>
      </c>
      <c r="AF75" s="41">
        <f t="shared" ca="1" si="94"/>
        <v>0</v>
      </c>
      <c r="AG75" s="41">
        <f t="shared" ca="1" si="94"/>
        <v>0</v>
      </c>
      <c r="AH75" s="41">
        <f t="shared" ca="1" si="94"/>
        <v>0</v>
      </c>
      <c r="AI75" s="41">
        <f t="shared" ca="1" si="94"/>
        <v>0</v>
      </c>
      <c r="AJ75" s="41">
        <f t="shared" ca="1" si="94"/>
        <v>0</v>
      </c>
      <c r="AK75" s="41">
        <f t="shared" ca="1" si="94"/>
        <v>0</v>
      </c>
      <c r="AL75" s="41">
        <f t="shared" ca="1" si="94"/>
        <v>0</v>
      </c>
      <c r="AM75" s="41">
        <f t="shared" ca="1" si="94"/>
        <v>0</v>
      </c>
      <c r="AN75" s="41">
        <f t="shared" ca="1" si="94"/>
        <v>0</v>
      </c>
      <c r="AO75" s="41">
        <f t="shared" ca="1" si="94"/>
        <v>0</v>
      </c>
      <c r="AP75" s="41">
        <f t="shared" ca="1" si="94"/>
        <v>0</v>
      </c>
      <c r="AQ75" s="41">
        <f t="shared" ca="1" si="94"/>
        <v>0</v>
      </c>
      <c r="AR75" s="41">
        <f t="shared" ca="1" si="94"/>
        <v>0</v>
      </c>
      <c r="AS75" s="41">
        <f t="shared" ca="1" si="94"/>
        <v>0</v>
      </c>
      <c r="AT75" s="41">
        <f t="shared" ca="1" si="94"/>
        <v>0</v>
      </c>
      <c r="AU75" s="41">
        <f t="shared" ca="1" si="94"/>
        <v>0</v>
      </c>
      <c r="AV75" s="41">
        <f t="shared" ca="1" si="94"/>
        <v>0</v>
      </c>
      <c r="AW75" s="41">
        <f t="shared" ca="1" si="94"/>
        <v>-0.72128868282739722</v>
      </c>
      <c r="AX75" s="41">
        <f t="shared" ca="1" si="94"/>
        <v>2.4426044341479449</v>
      </c>
      <c r="AY75" s="41">
        <f t="shared" ca="1" si="94"/>
        <v>-0.72128868282739722</v>
      </c>
      <c r="AZ75" s="41">
        <f t="shared" ca="1" si="94"/>
        <v>0</v>
      </c>
      <c r="BA75" s="41">
        <f t="shared" ca="1" si="94"/>
        <v>0</v>
      </c>
      <c r="BB75" s="41">
        <f t="shared" ca="1" si="94"/>
        <v>0</v>
      </c>
      <c r="BC75" s="41">
        <f t="shared" ca="1" si="94"/>
        <v>0</v>
      </c>
      <c r="BD75" s="41">
        <f t="shared" ca="1" si="94"/>
        <v>0</v>
      </c>
      <c r="BE75" s="41">
        <f t="shared" ca="1" si="94"/>
        <v>0</v>
      </c>
      <c r="BF75" s="41">
        <f t="shared" ca="1" si="94"/>
        <v>0</v>
      </c>
      <c r="BG75" s="41">
        <f t="shared" ca="1" si="94"/>
        <v>0</v>
      </c>
      <c r="BH75" s="44">
        <f t="shared" ca="1" si="93"/>
        <v>0</v>
      </c>
    </row>
    <row r="76" spans="1:60" s="49" customFormat="1" x14ac:dyDescent="0.25">
      <c r="A76" s="26"/>
      <c r="H76" s="36"/>
      <c r="I76" s="26">
        <f t="shared" si="89"/>
        <v>41</v>
      </c>
      <c r="J76" s="44">
        <f t="shared" ca="1" si="88"/>
        <v>0</v>
      </c>
      <c r="K76" s="41">
        <f t="shared" ca="1" si="88"/>
        <v>0</v>
      </c>
      <c r="L76" s="41">
        <f t="shared" ca="1" si="88"/>
        <v>0</v>
      </c>
      <c r="M76" s="41">
        <f t="shared" ca="1" si="88"/>
        <v>0</v>
      </c>
      <c r="N76" s="41">
        <f t="shared" ca="1" si="88"/>
        <v>0</v>
      </c>
      <c r="O76" s="41">
        <f t="shared" ca="1" si="88"/>
        <v>0</v>
      </c>
      <c r="P76" s="41">
        <f t="shared" ca="1" si="88"/>
        <v>0</v>
      </c>
      <c r="Q76" s="41">
        <f t="shared" ca="1" si="88"/>
        <v>0</v>
      </c>
      <c r="R76" s="41">
        <f t="shared" ca="1" si="88"/>
        <v>0</v>
      </c>
      <c r="S76" s="41">
        <f t="shared" ca="1" si="88"/>
        <v>0</v>
      </c>
      <c r="T76" s="41">
        <f t="shared" ca="1" si="91"/>
        <v>0</v>
      </c>
      <c r="U76" s="41">
        <f t="shared" ca="1" si="91"/>
        <v>0</v>
      </c>
      <c r="V76" s="41">
        <f t="shared" ca="1" si="91"/>
        <v>0</v>
      </c>
      <c r="W76" s="41">
        <f t="shared" ca="1" si="91"/>
        <v>0</v>
      </c>
      <c r="X76" s="41">
        <f t="shared" ca="1" si="91"/>
        <v>0</v>
      </c>
      <c r="Y76" s="41">
        <f t="shared" ca="1" si="91"/>
        <v>0</v>
      </c>
      <c r="Z76" s="41">
        <f t="shared" ca="1" si="91"/>
        <v>0</v>
      </c>
      <c r="AA76" s="41">
        <f t="shared" ca="1" si="91"/>
        <v>0</v>
      </c>
      <c r="AB76" s="41">
        <f t="shared" ca="1" si="91"/>
        <v>0</v>
      </c>
      <c r="AC76" s="41">
        <f t="shared" ca="1" si="91"/>
        <v>0</v>
      </c>
      <c r="AD76" s="41">
        <f t="shared" ca="1" si="94"/>
        <v>0</v>
      </c>
      <c r="AE76" s="41">
        <f t="shared" ca="1" si="94"/>
        <v>0</v>
      </c>
      <c r="AF76" s="41">
        <f t="shared" ca="1" si="94"/>
        <v>0</v>
      </c>
      <c r="AG76" s="41">
        <f t="shared" ca="1" si="94"/>
        <v>0</v>
      </c>
      <c r="AH76" s="41">
        <f t="shared" ca="1" si="94"/>
        <v>0</v>
      </c>
      <c r="AI76" s="41">
        <f t="shared" ca="1" si="94"/>
        <v>0</v>
      </c>
      <c r="AJ76" s="41">
        <f t="shared" ca="1" si="94"/>
        <v>0</v>
      </c>
      <c r="AK76" s="41">
        <f t="shared" ca="1" si="94"/>
        <v>0</v>
      </c>
      <c r="AL76" s="41">
        <f t="shared" ca="1" si="94"/>
        <v>0</v>
      </c>
      <c r="AM76" s="41">
        <f t="shared" ca="1" si="94"/>
        <v>0</v>
      </c>
      <c r="AN76" s="41">
        <f t="shared" ca="1" si="94"/>
        <v>0</v>
      </c>
      <c r="AO76" s="41">
        <f t="shared" ca="1" si="94"/>
        <v>0</v>
      </c>
      <c r="AP76" s="41">
        <f t="shared" ca="1" si="94"/>
        <v>0</v>
      </c>
      <c r="AQ76" s="41">
        <f t="shared" ca="1" si="94"/>
        <v>0</v>
      </c>
      <c r="AR76" s="41">
        <f t="shared" ca="1" si="94"/>
        <v>0</v>
      </c>
      <c r="AS76" s="41">
        <f t="shared" ca="1" si="94"/>
        <v>0</v>
      </c>
      <c r="AT76" s="41">
        <f t="shared" ca="1" si="94"/>
        <v>0</v>
      </c>
      <c r="AU76" s="41">
        <f t="shared" ca="1" si="94"/>
        <v>0</v>
      </c>
      <c r="AV76" s="41">
        <f t="shared" ca="1" si="94"/>
        <v>0</v>
      </c>
      <c r="AW76" s="41">
        <f t="shared" ca="1" si="94"/>
        <v>0</v>
      </c>
      <c r="AX76" s="41">
        <f t="shared" ca="1" si="94"/>
        <v>-0.75780392239553418</v>
      </c>
      <c r="AY76" s="41">
        <f t="shared" ca="1" si="94"/>
        <v>2.5156349132842188</v>
      </c>
      <c r="AZ76" s="41">
        <f t="shared" ca="1" si="94"/>
        <v>-0.75780392239553418</v>
      </c>
      <c r="BA76" s="41">
        <f t="shared" ca="1" si="94"/>
        <v>0</v>
      </c>
      <c r="BB76" s="41">
        <f t="shared" ca="1" si="94"/>
        <v>0</v>
      </c>
      <c r="BC76" s="41">
        <f t="shared" ca="1" si="94"/>
        <v>0</v>
      </c>
      <c r="BD76" s="41">
        <f t="shared" ca="1" si="94"/>
        <v>0</v>
      </c>
      <c r="BE76" s="41">
        <f t="shared" ca="1" si="94"/>
        <v>0</v>
      </c>
      <c r="BF76" s="41">
        <f t="shared" ca="1" si="94"/>
        <v>0</v>
      </c>
      <c r="BG76" s="41">
        <f t="shared" ca="1" si="94"/>
        <v>0</v>
      </c>
      <c r="BH76" s="44">
        <f t="shared" ca="1" si="93"/>
        <v>0</v>
      </c>
    </row>
    <row r="77" spans="1:60" s="49" customFormat="1" x14ac:dyDescent="0.25">
      <c r="A77" s="26"/>
      <c r="H77" s="36"/>
      <c r="I77" s="26">
        <f t="shared" si="89"/>
        <v>42</v>
      </c>
      <c r="J77" s="44">
        <f t="shared" ca="1" si="88"/>
        <v>0</v>
      </c>
      <c r="K77" s="41">
        <f t="shared" ca="1" si="88"/>
        <v>0</v>
      </c>
      <c r="L77" s="41">
        <f t="shared" ca="1" si="88"/>
        <v>0</v>
      </c>
      <c r="M77" s="41">
        <f t="shared" ca="1" si="88"/>
        <v>0</v>
      </c>
      <c r="N77" s="41">
        <f t="shared" ca="1" si="88"/>
        <v>0</v>
      </c>
      <c r="O77" s="41">
        <f t="shared" ca="1" si="88"/>
        <v>0</v>
      </c>
      <c r="P77" s="41">
        <f t="shared" ca="1" si="88"/>
        <v>0</v>
      </c>
      <c r="Q77" s="41">
        <f t="shared" ca="1" si="88"/>
        <v>0</v>
      </c>
      <c r="R77" s="41">
        <f t="shared" ca="1" si="88"/>
        <v>0</v>
      </c>
      <c r="S77" s="41">
        <f t="shared" ca="1" si="88"/>
        <v>0</v>
      </c>
      <c r="T77" s="41">
        <f t="shared" ca="1" si="91"/>
        <v>0</v>
      </c>
      <c r="U77" s="41">
        <f t="shared" ca="1" si="91"/>
        <v>0</v>
      </c>
      <c r="V77" s="41">
        <f t="shared" ca="1" si="91"/>
        <v>0</v>
      </c>
      <c r="W77" s="41">
        <f t="shared" ca="1" si="91"/>
        <v>0</v>
      </c>
      <c r="X77" s="41">
        <f t="shared" ca="1" si="91"/>
        <v>0</v>
      </c>
      <c r="Y77" s="41">
        <f t="shared" ca="1" si="91"/>
        <v>0</v>
      </c>
      <c r="Z77" s="41">
        <f t="shared" ca="1" si="91"/>
        <v>0</v>
      </c>
      <c r="AA77" s="41">
        <f t="shared" ca="1" si="91"/>
        <v>0</v>
      </c>
      <c r="AB77" s="41">
        <f t="shared" ca="1" si="91"/>
        <v>0</v>
      </c>
      <c r="AC77" s="41">
        <f t="shared" ca="1" si="91"/>
        <v>0</v>
      </c>
      <c r="AD77" s="41">
        <f t="shared" ca="1" si="94"/>
        <v>0</v>
      </c>
      <c r="AE77" s="41">
        <f t="shared" ca="1" si="94"/>
        <v>0</v>
      </c>
      <c r="AF77" s="41">
        <f t="shared" ca="1" si="94"/>
        <v>0</v>
      </c>
      <c r="AG77" s="41">
        <f t="shared" ca="1" si="94"/>
        <v>0</v>
      </c>
      <c r="AH77" s="41">
        <f t="shared" ca="1" si="94"/>
        <v>0</v>
      </c>
      <c r="AI77" s="41">
        <f t="shared" ca="1" si="94"/>
        <v>0</v>
      </c>
      <c r="AJ77" s="41">
        <f t="shared" ca="1" si="94"/>
        <v>0</v>
      </c>
      <c r="AK77" s="41">
        <f t="shared" ca="1" si="94"/>
        <v>0</v>
      </c>
      <c r="AL77" s="41">
        <f t="shared" ca="1" si="94"/>
        <v>0</v>
      </c>
      <c r="AM77" s="41">
        <f t="shared" ca="1" si="94"/>
        <v>0</v>
      </c>
      <c r="AN77" s="41">
        <f t="shared" ca="1" si="94"/>
        <v>0</v>
      </c>
      <c r="AO77" s="41">
        <f t="shared" ca="1" si="94"/>
        <v>0</v>
      </c>
      <c r="AP77" s="41">
        <f t="shared" ca="1" si="94"/>
        <v>0</v>
      </c>
      <c r="AQ77" s="41">
        <f t="shared" ca="1" si="94"/>
        <v>0</v>
      </c>
      <c r="AR77" s="41">
        <f t="shared" ca="1" si="94"/>
        <v>0</v>
      </c>
      <c r="AS77" s="41">
        <f t="shared" ca="1" si="94"/>
        <v>0</v>
      </c>
      <c r="AT77" s="41">
        <f t="shared" ca="1" si="94"/>
        <v>0</v>
      </c>
      <c r="AU77" s="41">
        <f t="shared" ca="1" si="94"/>
        <v>0</v>
      </c>
      <c r="AV77" s="41">
        <f t="shared" ca="1" si="94"/>
        <v>0</v>
      </c>
      <c r="AW77" s="41">
        <f t="shared" ca="1" si="94"/>
        <v>0</v>
      </c>
      <c r="AX77" s="41">
        <f t="shared" ca="1" si="94"/>
        <v>0</v>
      </c>
      <c r="AY77" s="41">
        <f t="shared" ca="1" si="94"/>
        <v>-0.79522077281720549</v>
      </c>
      <c r="AZ77" s="41">
        <f t="shared" ca="1" si="94"/>
        <v>2.5904686141275612</v>
      </c>
      <c r="BA77" s="41">
        <f t="shared" ca="1" si="94"/>
        <v>-0.79522077281720549</v>
      </c>
      <c r="BB77" s="41">
        <f t="shared" ca="1" si="94"/>
        <v>0</v>
      </c>
      <c r="BC77" s="41">
        <f t="shared" ca="1" si="94"/>
        <v>0</v>
      </c>
      <c r="BD77" s="41">
        <f t="shared" ca="1" si="94"/>
        <v>0</v>
      </c>
      <c r="BE77" s="41">
        <f t="shared" ca="1" si="94"/>
        <v>0</v>
      </c>
      <c r="BF77" s="41">
        <f t="shared" ca="1" si="94"/>
        <v>0</v>
      </c>
      <c r="BG77" s="41">
        <f t="shared" ca="1" si="94"/>
        <v>0</v>
      </c>
      <c r="BH77" s="44">
        <f t="shared" ca="1" si="93"/>
        <v>0</v>
      </c>
    </row>
    <row r="78" spans="1:60" s="49" customFormat="1" x14ac:dyDescent="0.25">
      <c r="A78" s="26"/>
      <c r="H78" s="36"/>
      <c r="I78" s="26">
        <f t="shared" si="89"/>
        <v>43</v>
      </c>
      <c r="J78" s="44">
        <f t="shared" ca="1" si="88"/>
        <v>0</v>
      </c>
      <c r="K78" s="41">
        <f t="shared" ca="1" si="88"/>
        <v>0</v>
      </c>
      <c r="L78" s="41">
        <f t="shared" ca="1" si="88"/>
        <v>0</v>
      </c>
      <c r="M78" s="41">
        <f t="shared" ca="1" si="88"/>
        <v>0</v>
      </c>
      <c r="N78" s="41">
        <f t="shared" ca="1" si="88"/>
        <v>0</v>
      </c>
      <c r="O78" s="41">
        <f t="shared" ca="1" si="88"/>
        <v>0</v>
      </c>
      <c r="P78" s="41">
        <f t="shared" ca="1" si="88"/>
        <v>0</v>
      </c>
      <c r="Q78" s="41">
        <f t="shared" ca="1" si="88"/>
        <v>0</v>
      </c>
      <c r="R78" s="41">
        <f t="shared" ca="1" si="88"/>
        <v>0</v>
      </c>
      <c r="S78" s="41">
        <f t="shared" ca="1" si="88"/>
        <v>0</v>
      </c>
      <c r="T78" s="41">
        <f t="shared" ca="1" si="91"/>
        <v>0</v>
      </c>
      <c r="U78" s="41">
        <f t="shared" ca="1" si="91"/>
        <v>0</v>
      </c>
      <c r="V78" s="41">
        <f t="shared" ca="1" si="91"/>
        <v>0</v>
      </c>
      <c r="W78" s="41">
        <f t="shared" ca="1" si="91"/>
        <v>0</v>
      </c>
      <c r="X78" s="41">
        <f t="shared" ca="1" si="91"/>
        <v>0</v>
      </c>
      <c r="Y78" s="41">
        <f t="shared" ca="1" si="91"/>
        <v>0</v>
      </c>
      <c r="Z78" s="41">
        <f t="shared" ca="1" si="91"/>
        <v>0</v>
      </c>
      <c r="AA78" s="41">
        <f t="shared" ca="1" si="91"/>
        <v>0</v>
      </c>
      <c r="AB78" s="41">
        <f t="shared" ca="1" si="91"/>
        <v>0</v>
      </c>
      <c r="AC78" s="41">
        <f t="shared" ca="1" si="91"/>
        <v>0</v>
      </c>
      <c r="AD78" s="41">
        <f t="shared" ca="1" si="94"/>
        <v>0</v>
      </c>
      <c r="AE78" s="41">
        <f t="shared" ca="1" si="94"/>
        <v>0</v>
      </c>
      <c r="AF78" s="41">
        <f t="shared" ca="1" si="94"/>
        <v>0</v>
      </c>
      <c r="AG78" s="41">
        <f t="shared" ca="1" si="94"/>
        <v>0</v>
      </c>
      <c r="AH78" s="41">
        <f t="shared" ca="1" si="94"/>
        <v>0</v>
      </c>
      <c r="AI78" s="41">
        <f t="shared" ca="1" si="94"/>
        <v>0</v>
      </c>
      <c r="AJ78" s="41">
        <f t="shared" ca="1" si="94"/>
        <v>0</v>
      </c>
      <c r="AK78" s="41">
        <f t="shared" ca="1" si="94"/>
        <v>0</v>
      </c>
      <c r="AL78" s="41">
        <f t="shared" ca="1" si="94"/>
        <v>0</v>
      </c>
      <c r="AM78" s="41">
        <f t="shared" ca="1" si="94"/>
        <v>0</v>
      </c>
      <c r="AN78" s="41">
        <f t="shared" ca="1" si="94"/>
        <v>0</v>
      </c>
      <c r="AO78" s="41">
        <f t="shared" ca="1" si="94"/>
        <v>0</v>
      </c>
      <c r="AP78" s="41">
        <f t="shared" ca="1" si="94"/>
        <v>0</v>
      </c>
      <c r="AQ78" s="41">
        <f t="shared" ca="1" si="94"/>
        <v>0</v>
      </c>
      <c r="AR78" s="41">
        <f t="shared" ca="1" si="94"/>
        <v>0</v>
      </c>
      <c r="AS78" s="41">
        <f t="shared" ca="1" si="94"/>
        <v>0</v>
      </c>
      <c r="AT78" s="41">
        <f t="shared" ca="1" si="94"/>
        <v>0</v>
      </c>
      <c r="AU78" s="41">
        <f t="shared" ca="1" si="94"/>
        <v>0</v>
      </c>
      <c r="AV78" s="41">
        <f t="shared" ca="1" si="94"/>
        <v>0</v>
      </c>
      <c r="AW78" s="41">
        <f t="shared" ca="1" si="94"/>
        <v>0</v>
      </c>
      <c r="AX78" s="41">
        <f t="shared" ca="1" si="94"/>
        <v>0</v>
      </c>
      <c r="AY78" s="41">
        <f t="shared" ca="1" si="94"/>
        <v>0</v>
      </c>
      <c r="AZ78" s="41">
        <f t="shared" ca="1" si="94"/>
        <v>-0.83353923409241093</v>
      </c>
      <c r="BA78" s="41">
        <f t="shared" ca="1" si="94"/>
        <v>2.6671055366779721</v>
      </c>
      <c r="BB78" s="41">
        <f t="shared" ca="1" si="94"/>
        <v>-0.83353923409241093</v>
      </c>
      <c r="BC78" s="41">
        <f t="shared" ca="1" si="94"/>
        <v>0</v>
      </c>
      <c r="BD78" s="41">
        <f t="shared" ca="1" si="94"/>
        <v>0</v>
      </c>
      <c r="BE78" s="41">
        <f t="shared" ca="1" si="94"/>
        <v>0</v>
      </c>
      <c r="BF78" s="41">
        <f t="shared" ca="1" si="94"/>
        <v>0</v>
      </c>
      <c r="BG78" s="41">
        <f t="shared" ca="1" si="94"/>
        <v>0</v>
      </c>
      <c r="BH78" s="44">
        <f t="shared" ca="1" si="93"/>
        <v>0</v>
      </c>
    </row>
    <row r="79" spans="1:60" s="49" customFormat="1" x14ac:dyDescent="0.25">
      <c r="A79" s="26"/>
      <c r="H79" s="36"/>
      <c r="I79" s="26">
        <f t="shared" si="89"/>
        <v>44</v>
      </c>
      <c r="J79" s="44">
        <f t="shared" ca="1" si="88"/>
        <v>0</v>
      </c>
      <c r="K79" s="41">
        <f t="shared" ca="1" si="88"/>
        <v>0</v>
      </c>
      <c r="L79" s="41">
        <f t="shared" ca="1" si="88"/>
        <v>0</v>
      </c>
      <c r="M79" s="41">
        <f t="shared" ca="1" si="88"/>
        <v>0</v>
      </c>
      <c r="N79" s="41">
        <f t="shared" ca="1" si="88"/>
        <v>0</v>
      </c>
      <c r="O79" s="41">
        <f t="shared" ca="1" si="88"/>
        <v>0</v>
      </c>
      <c r="P79" s="41">
        <f t="shared" ca="1" si="88"/>
        <v>0</v>
      </c>
      <c r="Q79" s="41">
        <f t="shared" ca="1" si="88"/>
        <v>0</v>
      </c>
      <c r="R79" s="41">
        <f t="shared" ca="1" si="88"/>
        <v>0</v>
      </c>
      <c r="S79" s="41">
        <f t="shared" ca="1" si="88"/>
        <v>0</v>
      </c>
      <c r="T79" s="41">
        <f t="shared" ca="1" si="91"/>
        <v>0</v>
      </c>
      <c r="U79" s="41">
        <f t="shared" ca="1" si="91"/>
        <v>0</v>
      </c>
      <c r="V79" s="41">
        <f t="shared" ca="1" si="91"/>
        <v>0</v>
      </c>
      <c r="W79" s="41">
        <f t="shared" ca="1" si="91"/>
        <v>0</v>
      </c>
      <c r="X79" s="41">
        <f t="shared" ca="1" si="91"/>
        <v>0</v>
      </c>
      <c r="Y79" s="41">
        <f t="shared" ca="1" si="91"/>
        <v>0</v>
      </c>
      <c r="Z79" s="41">
        <f t="shared" ca="1" si="91"/>
        <v>0</v>
      </c>
      <c r="AA79" s="41">
        <f t="shared" ca="1" si="91"/>
        <v>0</v>
      </c>
      <c r="AB79" s="41">
        <f t="shared" ca="1" si="91"/>
        <v>0</v>
      </c>
      <c r="AC79" s="41">
        <f t="shared" ca="1" si="91"/>
        <v>0</v>
      </c>
      <c r="AD79" s="41">
        <f t="shared" ca="1" si="94"/>
        <v>0</v>
      </c>
      <c r="AE79" s="41">
        <f t="shared" ca="1" si="94"/>
        <v>0</v>
      </c>
      <c r="AF79" s="41">
        <f t="shared" ca="1" si="94"/>
        <v>0</v>
      </c>
      <c r="AG79" s="41">
        <f t="shared" ref="AD79:BG84" ca="1" si="95">IF(AG$35/$I79=1,OFFSET($J$30,1,$I79),IF((AG$35-1)/$I79=1,OFFSET($J$30,2,$I79),IF((AG$35-2)/$I79=1,OFFSET($J$30,3,$I79),0)))</f>
        <v>0</v>
      </c>
      <c r="AH79" s="41">
        <f t="shared" ca="1" si="95"/>
        <v>0</v>
      </c>
      <c r="AI79" s="41">
        <f t="shared" ca="1" si="95"/>
        <v>0</v>
      </c>
      <c r="AJ79" s="41">
        <f t="shared" ca="1" si="95"/>
        <v>0</v>
      </c>
      <c r="AK79" s="41">
        <f t="shared" ca="1" si="95"/>
        <v>0</v>
      </c>
      <c r="AL79" s="41">
        <f t="shared" ca="1" si="95"/>
        <v>0</v>
      </c>
      <c r="AM79" s="41">
        <f t="shared" ca="1" si="95"/>
        <v>0</v>
      </c>
      <c r="AN79" s="41">
        <f t="shared" ca="1" si="95"/>
        <v>0</v>
      </c>
      <c r="AO79" s="41">
        <f t="shared" ca="1" si="95"/>
        <v>0</v>
      </c>
      <c r="AP79" s="41">
        <f t="shared" ca="1" si="95"/>
        <v>0</v>
      </c>
      <c r="AQ79" s="41">
        <f t="shared" ca="1" si="95"/>
        <v>0</v>
      </c>
      <c r="AR79" s="41">
        <f t="shared" ca="1" si="95"/>
        <v>0</v>
      </c>
      <c r="AS79" s="41">
        <f t="shared" ca="1" si="95"/>
        <v>0</v>
      </c>
      <c r="AT79" s="41">
        <f t="shared" ca="1" si="95"/>
        <v>0</v>
      </c>
      <c r="AU79" s="41">
        <f t="shared" ca="1" si="95"/>
        <v>0</v>
      </c>
      <c r="AV79" s="41">
        <f t="shared" ca="1" si="95"/>
        <v>0</v>
      </c>
      <c r="AW79" s="41">
        <f t="shared" ca="1" si="95"/>
        <v>0</v>
      </c>
      <c r="AX79" s="41">
        <f t="shared" ca="1" si="95"/>
        <v>0</v>
      </c>
      <c r="AY79" s="41">
        <f t="shared" ca="1" si="95"/>
        <v>0</v>
      </c>
      <c r="AZ79" s="41">
        <f t="shared" ca="1" si="95"/>
        <v>0</v>
      </c>
      <c r="BA79" s="41">
        <f t="shared" ca="1" si="95"/>
        <v>-0.8727593062211505</v>
      </c>
      <c r="BB79" s="41">
        <f t="shared" ca="1" si="95"/>
        <v>2.7455456809354515</v>
      </c>
      <c r="BC79" s="41">
        <f t="shared" ca="1" si="95"/>
        <v>-0.8727593062211505</v>
      </c>
      <c r="BD79" s="41">
        <f t="shared" ca="1" si="95"/>
        <v>0</v>
      </c>
      <c r="BE79" s="41">
        <f t="shared" ca="1" si="95"/>
        <v>0</v>
      </c>
      <c r="BF79" s="41">
        <f t="shared" ca="1" si="95"/>
        <v>0</v>
      </c>
      <c r="BG79" s="41">
        <f t="shared" ca="1" si="95"/>
        <v>0</v>
      </c>
      <c r="BH79" s="44">
        <f t="shared" ca="1" si="93"/>
        <v>0</v>
      </c>
    </row>
    <row r="80" spans="1:60" s="49" customFormat="1" x14ac:dyDescent="0.25">
      <c r="A80" s="26"/>
      <c r="H80" s="36"/>
      <c r="I80" s="26">
        <f t="shared" si="89"/>
        <v>45</v>
      </c>
      <c r="J80" s="44">
        <f t="shared" ca="1" si="88"/>
        <v>0</v>
      </c>
      <c r="K80" s="41">
        <f t="shared" ca="1" si="88"/>
        <v>0</v>
      </c>
      <c r="L80" s="41">
        <f t="shared" ca="1" si="88"/>
        <v>0</v>
      </c>
      <c r="M80" s="41">
        <f t="shared" ca="1" si="88"/>
        <v>0</v>
      </c>
      <c r="N80" s="41">
        <f t="shared" ca="1" si="88"/>
        <v>0</v>
      </c>
      <c r="O80" s="41">
        <f t="shared" ca="1" si="88"/>
        <v>0</v>
      </c>
      <c r="P80" s="41">
        <f t="shared" ca="1" si="88"/>
        <v>0</v>
      </c>
      <c r="Q80" s="41">
        <f t="shared" ca="1" si="88"/>
        <v>0</v>
      </c>
      <c r="R80" s="41">
        <f t="shared" ca="1" si="88"/>
        <v>0</v>
      </c>
      <c r="S80" s="41">
        <f t="shared" ca="1" si="88"/>
        <v>0</v>
      </c>
      <c r="T80" s="41">
        <f t="shared" ca="1" si="91"/>
        <v>0</v>
      </c>
      <c r="U80" s="41">
        <f t="shared" ca="1" si="91"/>
        <v>0</v>
      </c>
      <c r="V80" s="41">
        <f t="shared" ca="1" si="91"/>
        <v>0</v>
      </c>
      <c r="W80" s="41">
        <f t="shared" ca="1" si="91"/>
        <v>0</v>
      </c>
      <c r="X80" s="41">
        <f t="shared" ca="1" si="91"/>
        <v>0</v>
      </c>
      <c r="Y80" s="41">
        <f t="shared" ca="1" si="91"/>
        <v>0</v>
      </c>
      <c r="Z80" s="41">
        <f t="shared" ca="1" si="91"/>
        <v>0</v>
      </c>
      <c r="AA80" s="41">
        <f t="shared" ca="1" si="91"/>
        <v>0</v>
      </c>
      <c r="AB80" s="41">
        <f t="shared" ca="1" si="91"/>
        <v>0</v>
      </c>
      <c r="AC80" s="41">
        <f t="shared" ca="1" si="91"/>
        <v>0</v>
      </c>
      <c r="AD80" s="41">
        <f t="shared" ca="1" si="95"/>
        <v>0</v>
      </c>
      <c r="AE80" s="41">
        <f t="shared" ca="1" si="95"/>
        <v>0</v>
      </c>
      <c r="AF80" s="41">
        <f t="shared" ca="1" si="95"/>
        <v>0</v>
      </c>
      <c r="AG80" s="41">
        <f t="shared" ca="1" si="95"/>
        <v>0</v>
      </c>
      <c r="AH80" s="41">
        <f t="shared" ca="1" si="95"/>
        <v>0</v>
      </c>
      <c r="AI80" s="41">
        <f t="shared" ca="1" si="95"/>
        <v>0</v>
      </c>
      <c r="AJ80" s="41">
        <f t="shared" ca="1" si="95"/>
        <v>0</v>
      </c>
      <c r="AK80" s="41">
        <f t="shared" ca="1" si="95"/>
        <v>0</v>
      </c>
      <c r="AL80" s="41">
        <f t="shared" ca="1" si="95"/>
        <v>0</v>
      </c>
      <c r="AM80" s="41">
        <f t="shared" ca="1" si="95"/>
        <v>0</v>
      </c>
      <c r="AN80" s="41">
        <f t="shared" ca="1" si="95"/>
        <v>0</v>
      </c>
      <c r="AO80" s="41">
        <f t="shared" ca="1" si="95"/>
        <v>0</v>
      </c>
      <c r="AP80" s="41">
        <f t="shared" ca="1" si="95"/>
        <v>0</v>
      </c>
      <c r="AQ80" s="41">
        <f t="shared" ca="1" si="95"/>
        <v>0</v>
      </c>
      <c r="AR80" s="41">
        <f t="shared" ca="1" si="95"/>
        <v>0</v>
      </c>
      <c r="AS80" s="41">
        <f t="shared" ca="1" si="95"/>
        <v>0</v>
      </c>
      <c r="AT80" s="41">
        <f t="shared" ca="1" si="95"/>
        <v>0</v>
      </c>
      <c r="AU80" s="41">
        <f t="shared" ca="1" si="95"/>
        <v>0</v>
      </c>
      <c r="AV80" s="41">
        <f t="shared" ca="1" si="95"/>
        <v>0</v>
      </c>
      <c r="AW80" s="41">
        <f t="shared" ca="1" si="95"/>
        <v>0</v>
      </c>
      <c r="AX80" s="41">
        <f t="shared" ca="1" si="95"/>
        <v>0</v>
      </c>
      <c r="AY80" s="41">
        <f t="shared" ca="1" si="95"/>
        <v>0</v>
      </c>
      <c r="AZ80" s="41">
        <f t="shared" ca="1" si="95"/>
        <v>0</v>
      </c>
      <c r="BA80" s="41">
        <f t="shared" ca="1" si="95"/>
        <v>0</v>
      </c>
      <c r="BB80" s="41">
        <f t="shared" ca="1" si="95"/>
        <v>-0.91288098920342453</v>
      </c>
      <c r="BC80" s="41">
        <f t="shared" ca="1" si="95"/>
        <v>2.8257890468999993</v>
      </c>
      <c r="BD80" s="41">
        <f t="shared" ca="1" si="95"/>
        <v>-0.91288098920342453</v>
      </c>
      <c r="BE80" s="41">
        <f t="shared" ca="1" si="95"/>
        <v>0</v>
      </c>
      <c r="BF80" s="41">
        <f t="shared" ca="1" si="95"/>
        <v>0</v>
      </c>
      <c r="BG80" s="41">
        <f t="shared" ca="1" si="95"/>
        <v>0</v>
      </c>
      <c r="BH80" s="44">
        <f t="shared" ca="1" si="93"/>
        <v>0</v>
      </c>
    </row>
    <row r="81" spans="1:60" s="49" customFormat="1" x14ac:dyDescent="0.25">
      <c r="A81" s="26"/>
      <c r="H81" s="36"/>
      <c r="I81" s="26">
        <f t="shared" si="89"/>
        <v>46</v>
      </c>
      <c r="J81" s="44">
        <f t="shared" ca="1" si="88"/>
        <v>0</v>
      </c>
      <c r="K81" s="41">
        <f t="shared" ca="1" si="88"/>
        <v>0</v>
      </c>
      <c r="L81" s="41">
        <f t="shared" ca="1" si="88"/>
        <v>0</v>
      </c>
      <c r="M81" s="41">
        <f t="shared" ca="1" si="88"/>
        <v>0</v>
      </c>
      <c r="N81" s="41">
        <f t="shared" ca="1" si="88"/>
        <v>0</v>
      </c>
      <c r="O81" s="41">
        <f t="shared" ca="1" si="88"/>
        <v>0</v>
      </c>
      <c r="P81" s="41">
        <f t="shared" ca="1" si="88"/>
        <v>0</v>
      </c>
      <c r="Q81" s="41">
        <f t="shared" ca="1" si="88"/>
        <v>0</v>
      </c>
      <c r="R81" s="41">
        <f t="shared" ca="1" si="88"/>
        <v>0</v>
      </c>
      <c r="S81" s="41">
        <f t="shared" ca="1" si="88"/>
        <v>0</v>
      </c>
      <c r="T81" s="41">
        <f t="shared" ca="1" si="91"/>
        <v>0</v>
      </c>
      <c r="U81" s="41">
        <f t="shared" ca="1" si="91"/>
        <v>0</v>
      </c>
      <c r="V81" s="41">
        <f t="shared" ca="1" si="91"/>
        <v>0</v>
      </c>
      <c r="W81" s="41">
        <f t="shared" ca="1" si="91"/>
        <v>0</v>
      </c>
      <c r="X81" s="41">
        <f t="shared" ca="1" si="91"/>
        <v>0</v>
      </c>
      <c r="Y81" s="41">
        <f t="shared" ca="1" si="91"/>
        <v>0</v>
      </c>
      <c r="Z81" s="41">
        <f t="shared" ca="1" si="91"/>
        <v>0</v>
      </c>
      <c r="AA81" s="41">
        <f t="shared" ca="1" si="91"/>
        <v>0</v>
      </c>
      <c r="AB81" s="41">
        <f t="shared" ca="1" si="91"/>
        <v>0</v>
      </c>
      <c r="AC81" s="41">
        <f t="shared" ca="1" si="91"/>
        <v>0</v>
      </c>
      <c r="AD81" s="41">
        <f t="shared" ca="1" si="95"/>
        <v>0</v>
      </c>
      <c r="AE81" s="41">
        <f t="shared" ca="1" si="95"/>
        <v>0</v>
      </c>
      <c r="AF81" s="41">
        <f t="shared" ca="1" si="95"/>
        <v>0</v>
      </c>
      <c r="AG81" s="41">
        <f t="shared" ca="1" si="95"/>
        <v>0</v>
      </c>
      <c r="AH81" s="41">
        <f t="shared" ca="1" si="95"/>
        <v>0</v>
      </c>
      <c r="AI81" s="41">
        <f t="shared" ca="1" si="95"/>
        <v>0</v>
      </c>
      <c r="AJ81" s="41">
        <f t="shared" ca="1" si="95"/>
        <v>0</v>
      </c>
      <c r="AK81" s="41">
        <f t="shared" ca="1" si="95"/>
        <v>0</v>
      </c>
      <c r="AL81" s="41">
        <f t="shared" ca="1" si="95"/>
        <v>0</v>
      </c>
      <c r="AM81" s="41">
        <f t="shared" ca="1" si="95"/>
        <v>0</v>
      </c>
      <c r="AN81" s="41">
        <f t="shared" ca="1" si="95"/>
        <v>0</v>
      </c>
      <c r="AO81" s="41">
        <f t="shared" ca="1" si="95"/>
        <v>0</v>
      </c>
      <c r="AP81" s="41">
        <f t="shared" ca="1" si="95"/>
        <v>0</v>
      </c>
      <c r="AQ81" s="41">
        <f t="shared" ca="1" si="95"/>
        <v>0</v>
      </c>
      <c r="AR81" s="41">
        <f t="shared" ca="1" si="95"/>
        <v>0</v>
      </c>
      <c r="AS81" s="41">
        <f t="shared" ca="1" si="95"/>
        <v>0</v>
      </c>
      <c r="AT81" s="41">
        <f t="shared" ca="1" si="95"/>
        <v>0</v>
      </c>
      <c r="AU81" s="41">
        <f t="shared" ca="1" si="95"/>
        <v>0</v>
      </c>
      <c r="AV81" s="41">
        <f t="shared" ca="1" si="95"/>
        <v>0</v>
      </c>
      <c r="AW81" s="41">
        <f t="shared" ca="1" si="95"/>
        <v>0</v>
      </c>
      <c r="AX81" s="41">
        <f t="shared" ca="1" si="95"/>
        <v>0</v>
      </c>
      <c r="AY81" s="41">
        <f t="shared" ca="1" si="95"/>
        <v>0</v>
      </c>
      <c r="AZ81" s="41">
        <f t="shared" ca="1" si="95"/>
        <v>0</v>
      </c>
      <c r="BA81" s="41">
        <f t="shared" ca="1" si="95"/>
        <v>0</v>
      </c>
      <c r="BB81" s="41">
        <f t="shared" ca="1" si="95"/>
        <v>0</v>
      </c>
      <c r="BC81" s="41">
        <f t="shared" ca="1" si="95"/>
        <v>-0.9539042830392328</v>
      </c>
      <c r="BD81" s="41">
        <f t="shared" ca="1" si="95"/>
        <v>2.9078356345716161</v>
      </c>
      <c r="BE81" s="41">
        <f t="shared" ca="1" si="95"/>
        <v>-0.9539042830392328</v>
      </c>
      <c r="BF81" s="41">
        <f t="shared" ca="1" si="95"/>
        <v>0</v>
      </c>
      <c r="BG81" s="41">
        <f t="shared" ca="1" si="95"/>
        <v>0</v>
      </c>
      <c r="BH81" s="44">
        <f t="shared" ca="1" si="93"/>
        <v>0</v>
      </c>
    </row>
    <row r="82" spans="1:60" s="49" customFormat="1" x14ac:dyDescent="0.25">
      <c r="A82" s="26"/>
      <c r="H82" s="36"/>
      <c r="I82" s="26">
        <f t="shared" si="89"/>
        <v>47</v>
      </c>
      <c r="J82" s="44">
        <f t="shared" ca="1" si="88"/>
        <v>0</v>
      </c>
      <c r="K82" s="41">
        <f t="shared" ca="1" si="88"/>
        <v>0</v>
      </c>
      <c r="L82" s="41">
        <f t="shared" ca="1" si="88"/>
        <v>0</v>
      </c>
      <c r="M82" s="41">
        <f t="shared" ca="1" si="88"/>
        <v>0</v>
      </c>
      <c r="N82" s="41">
        <f t="shared" ca="1" si="88"/>
        <v>0</v>
      </c>
      <c r="O82" s="41">
        <f t="shared" ca="1" si="88"/>
        <v>0</v>
      </c>
      <c r="P82" s="41">
        <f t="shared" ca="1" si="88"/>
        <v>0</v>
      </c>
      <c r="Q82" s="41">
        <f t="shared" ca="1" si="88"/>
        <v>0</v>
      </c>
      <c r="R82" s="41">
        <f t="shared" ca="1" si="88"/>
        <v>0</v>
      </c>
      <c r="S82" s="41">
        <f t="shared" ca="1" si="88"/>
        <v>0</v>
      </c>
      <c r="T82" s="41">
        <f t="shared" ca="1" si="91"/>
        <v>0</v>
      </c>
      <c r="U82" s="41">
        <f t="shared" ca="1" si="91"/>
        <v>0</v>
      </c>
      <c r="V82" s="41">
        <f t="shared" ca="1" si="91"/>
        <v>0</v>
      </c>
      <c r="W82" s="41">
        <f t="shared" ca="1" si="91"/>
        <v>0</v>
      </c>
      <c r="X82" s="41">
        <f t="shared" ca="1" si="91"/>
        <v>0</v>
      </c>
      <c r="Y82" s="41">
        <f t="shared" ca="1" si="91"/>
        <v>0</v>
      </c>
      <c r="Z82" s="41">
        <f t="shared" ca="1" si="91"/>
        <v>0</v>
      </c>
      <c r="AA82" s="41">
        <f t="shared" ca="1" si="91"/>
        <v>0</v>
      </c>
      <c r="AB82" s="41">
        <f t="shared" ca="1" si="91"/>
        <v>0</v>
      </c>
      <c r="AC82" s="41">
        <f t="shared" ca="1" si="91"/>
        <v>0</v>
      </c>
      <c r="AD82" s="41">
        <f t="shared" ca="1" si="95"/>
        <v>0</v>
      </c>
      <c r="AE82" s="41">
        <f t="shared" ca="1" si="95"/>
        <v>0</v>
      </c>
      <c r="AF82" s="41">
        <f t="shared" ca="1" si="95"/>
        <v>0</v>
      </c>
      <c r="AG82" s="41">
        <f t="shared" ca="1" si="95"/>
        <v>0</v>
      </c>
      <c r="AH82" s="41">
        <f t="shared" ca="1" si="95"/>
        <v>0</v>
      </c>
      <c r="AI82" s="41">
        <f t="shared" ca="1" si="95"/>
        <v>0</v>
      </c>
      <c r="AJ82" s="41">
        <f t="shared" ca="1" si="95"/>
        <v>0</v>
      </c>
      <c r="AK82" s="41">
        <f t="shared" ca="1" si="95"/>
        <v>0</v>
      </c>
      <c r="AL82" s="41">
        <f t="shared" ca="1" si="95"/>
        <v>0</v>
      </c>
      <c r="AM82" s="41">
        <f t="shared" ca="1" si="95"/>
        <v>0</v>
      </c>
      <c r="AN82" s="41">
        <f t="shared" ca="1" si="95"/>
        <v>0</v>
      </c>
      <c r="AO82" s="41">
        <f t="shared" ca="1" si="95"/>
        <v>0</v>
      </c>
      <c r="AP82" s="41">
        <f t="shared" ca="1" si="95"/>
        <v>0</v>
      </c>
      <c r="AQ82" s="41">
        <f t="shared" ca="1" si="95"/>
        <v>0</v>
      </c>
      <c r="AR82" s="41">
        <f t="shared" ca="1" si="95"/>
        <v>0</v>
      </c>
      <c r="AS82" s="41">
        <f t="shared" ca="1" si="95"/>
        <v>0</v>
      </c>
      <c r="AT82" s="41">
        <f t="shared" ca="1" si="95"/>
        <v>0</v>
      </c>
      <c r="AU82" s="41">
        <f t="shared" ca="1" si="95"/>
        <v>0</v>
      </c>
      <c r="AV82" s="41">
        <f t="shared" ca="1" si="95"/>
        <v>0</v>
      </c>
      <c r="AW82" s="41">
        <f t="shared" ca="1" si="95"/>
        <v>0</v>
      </c>
      <c r="AX82" s="41">
        <f t="shared" ca="1" si="95"/>
        <v>0</v>
      </c>
      <c r="AY82" s="41">
        <f t="shared" ca="1" si="95"/>
        <v>0</v>
      </c>
      <c r="AZ82" s="41">
        <f t="shared" ca="1" si="95"/>
        <v>0</v>
      </c>
      <c r="BA82" s="41">
        <f t="shared" ca="1" si="95"/>
        <v>0</v>
      </c>
      <c r="BB82" s="41">
        <f t="shared" ca="1" si="95"/>
        <v>0</v>
      </c>
      <c r="BC82" s="41">
        <f t="shared" ca="1" si="95"/>
        <v>0</v>
      </c>
      <c r="BD82" s="41">
        <f t="shared" ca="1" si="95"/>
        <v>-0.9958291877285752</v>
      </c>
      <c r="BE82" s="41">
        <f t="shared" ca="1" si="95"/>
        <v>2.9916854439503009</v>
      </c>
      <c r="BF82" s="41">
        <f t="shared" ca="1" si="95"/>
        <v>-0.9958291877285752</v>
      </c>
      <c r="BG82" s="41">
        <f t="shared" ca="1" si="95"/>
        <v>0</v>
      </c>
      <c r="BH82" s="44">
        <f t="shared" ca="1" si="93"/>
        <v>0</v>
      </c>
    </row>
    <row r="83" spans="1:60" s="49" customFormat="1" x14ac:dyDescent="0.25">
      <c r="A83" s="26"/>
      <c r="H83" s="36"/>
      <c r="I83" s="26">
        <f t="shared" si="89"/>
        <v>48</v>
      </c>
      <c r="J83" s="44">
        <f t="shared" ca="1" si="88"/>
        <v>0</v>
      </c>
      <c r="K83" s="41">
        <f t="shared" ca="1" si="88"/>
        <v>0</v>
      </c>
      <c r="L83" s="41">
        <f t="shared" ca="1" si="88"/>
        <v>0</v>
      </c>
      <c r="M83" s="41">
        <f t="shared" ca="1" si="88"/>
        <v>0</v>
      </c>
      <c r="N83" s="41">
        <f t="shared" ca="1" si="88"/>
        <v>0</v>
      </c>
      <c r="O83" s="41">
        <f t="shared" ca="1" si="88"/>
        <v>0</v>
      </c>
      <c r="P83" s="41">
        <f t="shared" ca="1" si="88"/>
        <v>0</v>
      </c>
      <c r="Q83" s="41">
        <f t="shared" ca="1" si="88"/>
        <v>0</v>
      </c>
      <c r="R83" s="41">
        <f t="shared" ca="1" si="88"/>
        <v>0</v>
      </c>
      <c r="S83" s="41">
        <f t="shared" ca="1" si="88"/>
        <v>0</v>
      </c>
      <c r="T83" s="41">
        <f t="shared" ca="1" si="91"/>
        <v>0</v>
      </c>
      <c r="U83" s="41">
        <f t="shared" ca="1" si="91"/>
        <v>0</v>
      </c>
      <c r="V83" s="41">
        <f t="shared" ca="1" si="91"/>
        <v>0</v>
      </c>
      <c r="W83" s="41">
        <f t="shared" ca="1" si="91"/>
        <v>0</v>
      </c>
      <c r="X83" s="41">
        <f t="shared" ca="1" si="91"/>
        <v>0</v>
      </c>
      <c r="Y83" s="41">
        <f t="shared" ca="1" si="91"/>
        <v>0</v>
      </c>
      <c r="Z83" s="41">
        <f t="shared" ca="1" si="91"/>
        <v>0</v>
      </c>
      <c r="AA83" s="41">
        <f t="shared" ca="1" si="91"/>
        <v>0</v>
      </c>
      <c r="AB83" s="41">
        <f t="shared" ca="1" si="91"/>
        <v>0</v>
      </c>
      <c r="AC83" s="41">
        <f t="shared" ca="1" si="91"/>
        <v>0</v>
      </c>
      <c r="AD83" s="41">
        <f t="shared" ca="1" si="95"/>
        <v>0</v>
      </c>
      <c r="AE83" s="41">
        <f t="shared" ca="1" si="95"/>
        <v>0</v>
      </c>
      <c r="AF83" s="41">
        <f t="shared" ca="1" si="95"/>
        <v>0</v>
      </c>
      <c r="AG83" s="41">
        <f t="shared" ca="1" si="95"/>
        <v>0</v>
      </c>
      <c r="AH83" s="41">
        <f t="shared" ca="1" si="95"/>
        <v>0</v>
      </c>
      <c r="AI83" s="41">
        <f t="shared" ca="1" si="95"/>
        <v>0</v>
      </c>
      <c r="AJ83" s="41">
        <f t="shared" ca="1" si="95"/>
        <v>0</v>
      </c>
      <c r="AK83" s="41">
        <f t="shared" ca="1" si="95"/>
        <v>0</v>
      </c>
      <c r="AL83" s="41">
        <f t="shared" ca="1" si="95"/>
        <v>0</v>
      </c>
      <c r="AM83" s="41">
        <f t="shared" ca="1" si="95"/>
        <v>0</v>
      </c>
      <c r="AN83" s="41">
        <f t="shared" ca="1" si="95"/>
        <v>0</v>
      </c>
      <c r="AO83" s="41">
        <f t="shared" ca="1" si="95"/>
        <v>0</v>
      </c>
      <c r="AP83" s="41">
        <f t="shared" ca="1" si="95"/>
        <v>0</v>
      </c>
      <c r="AQ83" s="41">
        <f t="shared" ca="1" si="95"/>
        <v>0</v>
      </c>
      <c r="AR83" s="41">
        <f t="shared" ca="1" si="95"/>
        <v>0</v>
      </c>
      <c r="AS83" s="41">
        <f t="shared" ca="1" si="95"/>
        <v>0</v>
      </c>
      <c r="AT83" s="41">
        <f t="shared" ca="1" si="95"/>
        <v>0</v>
      </c>
      <c r="AU83" s="41">
        <f t="shared" ca="1" si="95"/>
        <v>0</v>
      </c>
      <c r="AV83" s="41">
        <f t="shared" ca="1" si="95"/>
        <v>0</v>
      </c>
      <c r="AW83" s="41">
        <f t="shared" ca="1" si="95"/>
        <v>0</v>
      </c>
      <c r="AX83" s="41">
        <f t="shared" ca="1" si="95"/>
        <v>0</v>
      </c>
      <c r="AY83" s="41">
        <f t="shared" ca="1" si="95"/>
        <v>0</v>
      </c>
      <c r="AZ83" s="41">
        <f t="shared" ca="1" si="95"/>
        <v>0</v>
      </c>
      <c r="BA83" s="41">
        <f t="shared" ca="1" si="95"/>
        <v>0</v>
      </c>
      <c r="BB83" s="41">
        <f t="shared" ca="1" si="95"/>
        <v>0</v>
      </c>
      <c r="BC83" s="41">
        <f t="shared" ca="1" si="95"/>
        <v>0</v>
      </c>
      <c r="BD83" s="41">
        <f t="shared" ca="1" si="95"/>
        <v>0</v>
      </c>
      <c r="BE83" s="41">
        <f t="shared" ca="1" si="95"/>
        <v>-1.0386557032714521</v>
      </c>
      <c r="BF83" s="41">
        <f t="shared" ca="1" si="95"/>
        <v>3.0773384750360546</v>
      </c>
      <c r="BG83" s="41">
        <f t="shared" ca="1" si="95"/>
        <v>-1.0386557032714521</v>
      </c>
      <c r="BH83" s="44">
        <f t="shared" ca="1" si="93"/>
        <v>0</v>
      </c>
    </row>
    <row r="84" spans="1:60" s="49" customFormat="1" x14ac:dyDescent="0.25">
      <c r="A84" s="26"/>
      <c r="H84" s="36"/>
      <c r="I84" s="26">
        <f t="shared" si="89"/>
        <v>49</v>
      </c>
      <c r="J84" s="44">
        <f t="shared" ca="1" si="88"/>
        <v>0</v>
      </c>
      <c r="K84" s="41">
        <f t="shared" ca="1" si="88"/>
        <v>0</v>
      </c>
      <c r="L84" s="41">
        <f t="shared" ca="1" si="88"/>
        <v>0</v>
      </c>
      <c r="M84" s="41">
        <f t="shared" ca="1" si="88"/>
        <v>0</v>
      </c>
      <c r="N84" s="41">
        <f t="shared" ca="1" si="88"/>
        <v>0</v>
      </c>
      <c r="O84" s="41">
        <f t="shared" ca="1" si="88"/>
        <v>0</v>
      </c>
      <c r="P84" s="41">
        <f t="shared" ca="1" si="88"/>
        <v>0</v>
      </c>
      <c r="Q84" s="41">
        <f t="shared" ca="1" si="88"/>
        <v>0</v>
      </c>
      <c r="R84" s="41">
        <f t="shared" ca="1" si="88"/>
        <v>0</v>
      </c>
      <c r="S84" s="41">
        <f t="shared" ca="1" si="88"/>
        <v>0</v>
      </c>
      <c r="T84" s="41">
        <f t="shared" ca="1" si="91"/>
        <v>0</v>
      </c>
      <c r="U84" s="41">
        <f t="shared" ca="1" si="91"/>
        <v>0</v>
      </c>
      <c r="V84" s="41">
        <f t="shared" ca="1" si="91"/>
        <v>0</v>
      </c>
      <c r="W84" s="41">
        <f t="shared" ca="1" si="91"/>
        <v>0</v>
      </c>
      <c r="X84" s="41">
        <f t="shared" ca="1" si="91"/>
        <v>0</v>
      </c>
      <c r="Y84" s="41">
        <f t="shared" ca="1" si="91"/>
        <v>0</v>
      </c>
      <c r="Z84" s="41">
        <f t="shared" ca="1" si="91"/>
        <v>0</v>
      </c>
      <c r="AA84" s="41">
        <f t="shared" ca="1" si="91"/>
        <v>0</v>
      </c>
      <c r="AB84" s="41">
        <f t="shared" ca="1" si="91"/>
        <v>0</v>
      </c>
      <c r="AC84" s="41">
        <f t="shared" ca="1" si="91"/>
        <v>0</v>
      </c>
      <c r="AD84" s="41">
        <f t="shared" ca="1" si="95"/>
        <v>0</v>
      </c>
      <c r="AE84" s="41">
        <f t="shared" ca="1" si="95"/>
        <v>0</v>
      </c>
      <c r="AF84" s="41">
        <f t="shared" ca="1" si="95"/>
        <v>0</v>
      </c>
      <c r="AG84" s="41">
        <f t="shared" ca="1" si="95"/>
        <v>0</v>
      </c>
      <c r="AH84" s="41">
        <f t="shared" ca="1" si="95"/>
        <v>0</v>
      </c>
      <c r="AI84" s="41">
        <f t="shared" ca="1" si="95"/>
        <v>0</v>
      </c>
      <c r="AJ84" s="41">
        <f t="shared" ca="1" si="95"/>
        <v>0</v>
      </c>
      <c r="AK84" s="41">
        <f t="shared" ca="1" si="95"/>
        <v>0</v>
      </c>
      <c r="AL84" s="41">
        <f t="shared" ca="1" si="95"/>
        <v>0</v>
      </c>
      <c r="AM84" s="41">
        <f t="shared" ca="1" si="95"/>
        <v>0</v>
      </c>
      <c r="AN84" s="41">
        <f t="shared" ca="1" si="95"/>
        <v>0</v>
      </c>
      <c r="AO84" s="41">
        <f t="shared" ca="1" si="95"/>
        <v>0</v>
      </c>
      <c r="AP84" s="41">
        <f t="shared" ca="1" si="95"/>
        <v>0</v>
      </c>
      <c r="AQ84" s="41">
        <f t="shared" ca="1" si="95"/>
        <v>0</v>
      </c>
      <c r="AR84" s="41">
        <f t="shared" ca="1" si="95"/>
        <v>0</v>
      </c>
      <c r="AS84" s="41">
        <f t="shared" ca="1" si="95"/>
        <v>0</v>
      </c>
      <c r="AT84" s="41">
        <f t="shared" ca="1" si="95"/>
        <v>0</v>
      </c>
      <c r="AU84" s="41">
        <f t="shared" ca="1" si="95"/>
        <v>0</v>
      </c>
      <c r="AV84" s="41">
        <f t="shared" ca="1" si="95"/>
        <v>0</v>
      </c>
      <c r="AW84" s="41">
        <f t="shared" ca="1" si="95"/>
        <v>0</v>
      </c>
      <c r="AX84" s="41">
        <f t="shared" ca="1" si="95"/>
        <v>0</v>
      </c>
      <c r="AY84" s="41">
        <f t="shared" ca="1" si="95"/>
        <v>0</v>
      </c>
      <c r="AZ84" s="41">
        <f t="shared" ca="1" si="95"/>
        <v>0</v>
      </c>
      <c r="BA84" s="41">
        <f t="shared" ca="1" si="95"/>
        <v>0</v>
      </c>
      <c r="BB84" s="41">
        <f t="shared" ca="1" si="95"/>
        <v>0</v>
      </c>
      <c r="BC84" s="41">
        <f t="shared" ca="1" si="95"/>
        <v>0</v>
      </c>
      <c r="BD84" s="41">
        <f t="shared" ca="1" si="95"/>
        <v>0</v>
      </c>
      <c r="BE84" s="41">
        <f t="shared" ca="1" si="95"/>
        <v>0</v>
      </c>
      <c r="BF84" s="41">
        <f t="shared" ca="1" si="95"/>
        <v>-1.082383829667863</v>
      </c>
      <c r="BG84" s="41">
        <f t="shared" ca="1" si="95"/>
        <v>3.1647947278288764</v>
      </c>
      <c r="BH84" s="44">
        <f t="shared" ca="1" si="93"/>
        <v>-1.082383829667863</v>
      </c>
    </row>
    <row r="85" spans="1:60" x14ac:dyDescent="0.25">
      <c r="H85" s="11"/>
    </row>
    <row r="86" spans="1:60" x14ac:dyDescent="0.25">
      <c r="H86" s="26">
        <f>A85+1</f>
        <v>1</v>
      </c>
      <c r="I86" s="17" t="s">
        <v>21</v>
      </c>
      <c r="K86">
        <f t="array" aca="1" ref="K86:BG134" ca="1">MINVERSE(K36:BG84)</f>
        <v>0.99907299076179557</v>
      </c>
      <c r="L86">
        <f ca="1"/>
        <v>4.4876020717755412E-4</v>
      </c>
      <c r="M86">
        <f ca="1"/>
        <v>8.0270205277048974E-7</v>
      </c>
      <c r="N86">
        <f ca="1"/>
        <v>3.2106147410341656E-9</v>
      </c>
      <c r="O86">
        <f ca="1"/>
        <v>2.265064972615509E-11</v>
      </c>
      <c r="P86">
        <f ca="1"/>
        <v>2.473264408639697E-13</v>
      </c>
      <c r="Q86">
        <f ca="1"/>
        <v>3.8461560701965929E-15</v>
      </c>
      <c r="R86">
        <f ca="1"/>
        <v>8.0397232982346735E-17</v>
      </c>
      <c r="S86">
        <f ca="1"/>
        <v>2.1647113489428498E-18</v>
      </c>
      <c r="T86">
        <f ca="1"/>
        <v>7.2653965448382346E-20</v>
      </c>
      <c r="U86">
        <f ca="1"/>
        <v>2.9614388872665619E-21</v>
      </c>
      <c r="V86">
        <f ca="1"/>
        <v>1.4352055227782547E-22</v>
      </c>
      <c r="W86">
        <f ca="1"/>
        <v>8.1252715664365572E-24</v>
      </c>
      <c r="X86">
        <f ca="1"/>
        <v>5.294353643884763E-25</v>
      </c>
      <c r="Y86">
        <f ca="1"/>
        <v>3.9202521830711617E-26</v>
      </c>
      <c r="Z86">
        <f ca="1"/>
        <v>3.2626028383506722E-27</v>
      </c>
      <c r="AA86">
        <f ca="1"/>
        <v>3.0227034148972076E-28</v>
      </c>
      <c r="AB86">
        <f ca="1"/>
        <v>3.0913097365950359E-29</v>
      </c>
      <c r="AC86">
        <f ca="1"/>
        <v>3.463855729746549E-30</v>
      </c>
      <c r="AD86" s="49">
        <f ca="1"/>
        <v>4.224321826131491E-31</v>
      </c>
      <c r="AE86" s="49">
        <f ca="1"/>
        <v>5.5737390881112275E-32</v>
      </c>
      <c r="AF86" s="49">
        <f ca="1"/>
        <v>7.9141040440272267E-33</v>
      </c>
      <c r="AG86" s="49">
        <f ca="1"/>
        <v>1.2034309378478051E-33</v>
      </c>
      <c r="AH86" s="49">
        <f ca="1"/>
        <v>1.9511946844750435E-34</v>
      </c>
      <c r="AI86" s="49">
        <f ca="1"/>
        <v>3.3597618299485586E-35</v>
      </c>
      <c r="AJ86" s="49">
        <f ca="1"/>
        <v>6.1216086541340837E-36</v>
      </c>
      <c r="AK86" s="49">
        <f ca="1"/>
        <v>1.176325290750183E-36</v>
      </c>
      <c r="AL86" s="49">
        <f ca="1"/>
        <v>2.376674509582898E-37</v>
      </c>
      <c r="AM86" s="49">
        <f ca="1"/>
        <v>5.0347175272520092E-38</v>
      </c>
      <c r="AN86" s="49">
        <f ca="1"/>
        <v>1.115378685219764E-38</v>
      </c>
      <c r="AO86" s="49">
        <f ca="1"/>
        <v>2.5779611552556696E-39</v>
      </c>
      <c r="AP86" s="49">
        <f ca="1"/>
        <v>6.2026877821812808E-40</v>
      </c>
      <c r="AQ86" s="49">
        <f ca="1"/>
        <v>1.550408033846963E-40</v>
      </c>
      <c r="AR86" s="49">
        <f ca="1"/>
        <v>4.0183831187607717E-41</v>
      </c>
      <c r="AS86" s="49">
        <f ca="1"/>
        <v>1.0780290630779717E-41</v>
      </c>
      <c r="AT86" s="49">
        <f ca="1"/>
        <v>2.988619443743709E-42</v>
      </c>
      <c r="AU86" s="49">
        <f ca="1"/>
        <v>8.5488372721575763E-43</v>
      </c>
      <c r="AV86" s="49">
        <f ca="1"/>
        <v>2.5195265926667086E-43</v>
      </c>
      <c r="AW86" s="49">
        <f ca="1"/>
        <v>7.6405689718241153E-44</v>
      </c>
      <c r="AX86" s="49">
        <f ca="1"/>
        <v>2.3811327018244884E-44</v>
      </c>
      <c r="AY86" s="49">
        <f ca="1"/>
        <v>7.6169802702849558E-45</v>
      </c>
      <c r="AZ86" s="49">
        <f ca="1"/>
        <v>2.4983009351294958E-45</v>
      </c>
      <c r="BA86" s="49">
        <f ca="1"/>
        <v>8.3930378661648201E-46</v>
      </c>
      <c r="BB86" s="49">
        <f ca="1"/>
        <v>2.8852281961479625E-46</v>
      </c>
      <c r="BC86" s="49">
        <f ca="1"/>
        <v>1.0139322307317125E-46</v>
      </c>
      <c r="BD86" s="49">
        <f ca="1"/>
        <v>3.638193467745287E-47</v>
      </c>
      <c r="BE86" s="49">
        <f ca="1"/>
        <v>1.3288162764517046E-47</v>
      </c>
      <c r="BF86" s="49">
        <f ca="1"/>
        <v>4.8612064512513186E-48</v>
      </c>
      <c r="BG86" s="49">
        <f ca="1"/>
        <v>1.5954019895742092E-48</v>
      </c>
    </row>
    <row r="87" spans="1:60" x14ac:dyDescent="0.25">
      <c r="H87" s="26">
        <f t="shared" ref="H87:H118" si="96">H86+1</f>
        <v>2</v>
      </c>
      <c r="K87">
        <f ca="1"/>
        <v>1.7950408287102167E-3</v>
      </c>
      <c r="L87">
        <f ca="1"/>
        <v>0.99638765383720529</v>
      </c>
      <c r="M87">
        <f ca="1"/>
        <v>1.7822489657017453E-3</v>
      </c>
      <c r="N87">
        <f ca="1"/>
        <v>7.1285662989465375E-6</v>
      </c>
      <c r="O87">
        <f ca="1"/>
        <v>5.0291508421562302E-8</v>
      </c>
      <c r="P87">
        <f ca="1"/>
        <v>5.4914185394083898E-10</v>
      </c>
      <c r="Q87">
        <f ca="1"/>
        <v>8.5396663112749112E-12</v>
      </c>
      <c r="R87">
        <f ca="1"/>
        <v>1.785069377031217E-13</v>
      </c>
      <c r="S87">
        <f ca="1"/>
        <v>4.8063344915841732E-15</v>
      </c>
      <c r="T87">
        <f ca="1"/>
        <v>1.6131446821095038E-16</v>
      </c>
      <c r="U87">
        <f ca="1"/>
        <v>6.5753181714222685E-18</v>
      </c>
      <c r="V87">
        <f ca="1"/>
        <v>3.186603983025238E-19</v>
      </c>
      <c r="W87">
        <f ca="1"/>
        <v>1.8040637613104329E-20</v>
      </c>
      <c r="X87">
        <f ca="1"/>
        <v>1.1755116700281822E-21</v>
      </c>
      <c r="Y87">
        <f ca="1"/>
        <v>8.7041827966600281E-23</v>
      </c>
      <c r="Z87">
        <f ca="1"/>
        <v>7.2439960930418045E-24</v>
      </c>
      <c r="AA87">
        <f ca="1"/>
        <v>6.711344534662607E-25</v>
      </c>
      <c r="AB87">
        <f ca="1"/>
        <v>6.863671971056389E-26</v>
      </c>
      <c r="AC87">
        <f ca="1"/>
        <v>7.6908402941956565E-27</v>
      </c>
      <c r="AD87" s="49">
        <f ca="1"/>
        <v>9.3793122609178201E-28</v>
      </c>
      <c r="AE87" s="49">
        <f ca="1"/>
        <v>1.2375439542718991E-28</v>
      </c>
      <c r="AF87" s="49">
        <f ca="1"/>
        <v>1.7571779838161731E-29</v>
      </c>
      <c r="AG87" s="49">
        <f ca="1"/>
        <v>2.6719921007676576E-30</v>
      </c>
      <c r="AH87" s="49">
        <f ca="1"/>
        <v>4.3322608884403692E-31</v>
      </c>
      <c r="AI87" s="49">
        <f ca="1"/>
        <v>7.459719363819921E-32</v>
      </c>
      <c r="AJ87" s="49">
        <f ca="1"/>
        <v>1.3591880891054355E-32</v>
      </c>
      <c r="AK87" s="49">
        <f ca="1"/>
        <v>2.6118091084136738E-33</v>
      </c>
      <c r="AL87" s="49">
        <f ca="1"/>
        <v>5.2769588316039089E-34</v>
      </c>
      <c r="AM87" s="49">
        <f ca="1"/>
        <v>1.1178643526044346E-34</v>
      </c>
      <c r="AN87" s="49">
        <f ca="1"/>
        <v>2.4764886314138734E-35</v>
      </c>
      <c r="AO87" s="49">
        <f ca="1"/>
        <v>5.7238779777823521E-36</v>
      </c>
      <c r="AP87" s="49">
        <f ca="1"/>
        <v>1.3771901848523406E-36</v>
      </c>
      <c r="AQ87" s="49">
        <f ca="1"/>
        <v>3.4423894958313881E-37</v>
      </c>
      <c r="AR87" s="49">
        <f ca="1"/>
        <v>8.9220640865265663E-38</v>
      </c>
      <c r="AS87" s="49">
        <f ca="1"/>
        <v>2.3935608187817645E-38</v>
      </c>
      <c r="AT87" s="49">
        <f ca="1"/>
        <v>6.6356674859673063E-39</v>
      </c>
      <c r="AU87" s="49">
        <f ca="1"/>
        <v>1.898108561410609E-39</v>
      </c>
      <c r="AV87" s="49">
        <f ca="1"/>
        <v>5.5941350197620532E-40</v>
      </c>
      <c r="AW87" s="49">
        <f ca="1"/>
        <v>1.6964446646681107E-40</v>
      </c>
      <c r="AX87" s="49">
        <f ca="1"/>
        <v>5.2868574091446675E-41</v>
      </c>
      <c r="AY87" s="49">
        <f ca="1"/>
        <v>1.6912072370602815E-41</v>
      </c>
      <c r="AZ87" s="49">
        <f ca="1"/>
        <v>5.5470074385362784E-42</v>
      </c>
      <c r="BA87" s="49">
        <f ca="1"/>
        <v>1.8635162330081636E-42</v>
      </c>
      <c r="BB87" s="49">
        <f ca="1"/>
        <v>6.4061066626778468E-43</v>
      </c>
      <c r="BC87" s="49">
        <f ca="1"/>
        <v>2.2512458555153864E-43</v>
      </c>
      <c r="BD87" s="49">
        <f ca="1"/>
        <v>8.0779244584364484E-44</v>
      </c>
      <c r="BE87" s="49">
        <f ca="1"/>
        <v>2.9503866673066045E-44</v>
      </c>
      <c r="BF87" s="49">
        <f ca="1"/>
        <v>1.0793394809322245E-44</v>
      </c>
      <c r="BG87" s="49">
        <f ca="1"/>
        <v>3.5422901137268341E-45</v>
      </c>
    </row>
    <row r="88" spans="1:60" x14ac:dyDescent="0.25">
      <c r="H88" s="26">
        <f t="shared" si="96"/>
        <v>3</v>
      </c>
      <c r="K88">
        <f ca="1"/>
        <v>7.2243184749344081E-6</v>
      </c>
      <c r="L88">
        <f ca="1"/>
        <v>4.0100601728289267E-3</v>
      </c>
      <c r="M88">
        <f ca="1"/>
        <v>0.99195974298609391</v>
      </c>
      <c r="N88">
        <f ca="1"/>
        <v>3.9675998863481421E-3</v>
      </c>
      <c r="O88">
        <f ca="1"/>
        <v>2.7991123983395484E-5</v>
      </c>
      <c r="P88">
        <f ca="1"/>
        <v>3.0564002155758321E-7</v>
      </c>
      <c r="Q88">
        <f ca="1"/>
        <v>4.752986458311047E-9</v>
      </c>
      <c r="R88">
        <f ca="1"/>
        <v>9.9352952058245583E-11</v>
      </c>
      <c r="S88">
        <f ca="1"/>
        <v>2.6750978223178811E-12</v>
      </c>
      <c r="T88">
        <f ca="1"/>
        <v>8.9784009701173955E-14</v>
      </c>
      <c r="U88">
        <f ca="1"/>
        <v>3.6596744051455612E-15</v>
      </c>
      <c r="V88">
        <f ca="1"/>
        <v>1.7735922022294837E-16</v>
      </c>
      <c r="W88">
        <f ca="1"/>
        <v>1.0041013682369563E-17</v>
      </c>
      <c r="X88">
        <f ca="1"/>
        <v>6.5426339221870909E-19</v>
      </c>
      <c r="Y88">
        <f ca="1"/>
        <v>4.8445526388504426E-20</v>
      </c>
      <c r="Z88">
        <f ca="1"/>
        <v>4.0318455170580992E-21</v>
      </c>
      <c r="AA88">
        <f ca="1"/>
        <v>3.735383623619474E-22</v>
      </c>
      <c r="AB88">
        <f ca="1"/>
        <v>3.8201656532700913E-23</v>
      </c>
      <c r="AC88">
        <f ca="1"/>
        <v>4.2805489627951969E-24</v>
      </c>
      <c r="AD88" s="49">
        <f ca="1"/>
        <v>5.2203145344865042E-25</v>
      </c>
      <c r="AE88" s="49">
        <f ca="1"/>
        <v>6.8878916831363837E-26</v>
      </c>
      <c r="AF88" s="49">
        <f ca="1"/>
        <v>9.7800579759113656E-27</v>
      </c>
      <c r="AG88" s="49">
        <f ca="1"/>
        <v>1.4871707873286625E-27</v>
      </c>
      <c r="AH88" s="49">
        <f ca="1"/>
        <v>2.4112391030362806E-28</v>
      </c>
      <c r="AI88" s="49">
        <f ca="1"/>
        <v>4.1519122441850384E-29</v>
      </c>
      <c r="AJ88" s="49">
        <f ca="1"/>
        <v>7.5649356149740959E-30</v>
      </c>
      <c r="AK88" s="49">
        <f ca="1"/>
        <v>1.4536742855623754E-30</v>
      </c>
      <c r="AL88" s="49">
        <f ca="1"/>
        <v>2.9370367592189684E-31</v>
      </c>
      <c r="AM88" s="49">
        <f ca="1"/>
        <v>6.2217819016447039E-32</v>
      </c>
      <c r="AN88" s="49">
        <f ca="1"/>
        <v>1.3783579475149439E-32</v>
      </c>
      <c r="AO88" s="49">
        <f ca="1"/>
        <v>3.1857819176734028E-33</v>
      </c>
      <c r="AP88" s="49">
        <f ca="1"/>
        <v>7.6651312364274652E-34</v>
      </c>
      <c r="AQ88" s="49">
        <f ca="1"/>
        <v>1.9159566734260494E-34</v>
      </c>
      <c r="AR88" s="49">
        <f ca="1"/>
        <v>4.9658204709304515E-35</v>
      </c>
      <c r="AS88" s="49">
        <f ca="1"/>
        <v>1.3322021896561891E-35</v>
      </c>
      <c r="AT88" s="49">
        <f ca="1"/>
        <v>3.6932634781076046E-36</v>
      </c>
      <c r="AU88" s="49">
        <f ca="1"/>
        <v>1.0564445916203503E-36</v>
      </c>
      <c r="AV88" s="49">
        <f ca="1"/>
        <v>3.11356990141259E-37</v>
      </c>
      <c r="AW88" s="49">
        <f ca="1"/>
        <v>9.4420299629222638E-38</v>
      </c>
      <c r="AX88" s="49">
        <f ca="1"/>
        <v>2.9425460851449294E-38</v>
      </c>
      <c r="AY88" s="49">
        <f ca="1"/>
        <v>9.4128796172424452E-39</v>
      </c>
      <c r="AZ88" s="49">
        <f ca="1"/>
        <v>3.0873397482409938E-39</v>
      </c>
      <c r="BA88" s="49">
        <f ca="1"/>
        <v>1.0371912786142915E-39</v>
      </c>
      <c r="BB88" s="49">
        <f ca="1"/>
        <v>3.5654950800599015E-40</v>
      </c>
      <c r="BC88" s="49">
        <f ca="1"/>
        <v>1.2529928776568374E-40</v>
      </c>
      <c r="BD88" s="49">
        <f ca="1"/>
        <v>4.4959913142643684E-41</v>
      </c>
      <c r="BE88" s="49">
        <f ca="1"/>
        <v>1.6421189500080355E-41</v>
      </c>
      <c r="BF88" s="49">
        <f ca="1"/>
        <v>6.0073611190382131E-42</v>
      </c>
      <c r="BG88" s="49">
        <f ca="1"/>
        <v>1.971559113466013E-42</v>
      </c>
    </row>
    <row r="89" spans="1:60" x14ac:dyDescent="0.25">
      <c r="H89" s="26">
        <f t="shared" si="96"/>
        <v>4</v>
      </c>
      <c r="K89">
        <f ca="1"/>
        <v>5.1369835856546649E-8</v>
      </c>
      <c r="L89">
        <f ca="1"/>
        <v>2.8514265195786146E-5</v>
      </c>
      <c r="M89">
        <f ca="1"/>
        <v>7.0535109090633626E-3</v>
      </c>
      <c r="N89">
        <f ca="1"/>
        <v>0.98585854549654062</v>
      </c>
      <c r="O89">
        <f ca="1"/>
        <v>6.9551591812557646E-3</v>
      </c>
      <c r="P89">
        <f ca="1"/>
        <v>7.5944610275616585E-5</v>
      </c>
      <c r="Q89">
        <f ca="1"/>
        <v>1.1810092879270046E-6</v>
      </c>
      <c r="R89">
        <f ca="1"/>
        <v>2.4686954232444737E-8</v>
      </c>
      <c r="S89">
        <f ca="1"/>
        <v>6.6470110991929279E-10</v>
      </c>
      <c r="T89">
        <f ca="1"/>
        <v>2.2309289179438153E-11</v>
      </c>
      <c r="U89">
        <f ca="1"/>
        <v>9.093460503570392E-13</v>
      </c>
      <c r="V89">
        <f ca="1"/>
        <v>4.4069741881239178E-14</v>
      </c>
      <c r="W89">
        <f ca="1"/>
        <v>2.4949640658758501E-15</v>
      </c>
      <c r="X89">
        <f ca="1"/>
        <v>1.6256960749589353E-16</v>
      </c>
      <c r="Y89">
        <f ca="1"/>
        <v>1.2037614061216468E-17</v>
      </c>
      <c r="Z89">
        <f ca="1"/>
        <v>1.0018221269716181E-18</v>
      </c>
      <c r="AA89">
        <f ca="1"/>
        <v>9.2815807327855173E-20</v>
      </c>
      <c r="AB89">
        <f ca="1"/>
        <v>9.4922448391214363E-21</v>
      </c>
      <c r="AC89">
        <f ca="1"/>
        <v>1.0636192900671206E-21</v>
      </c>
      <c r="AD89" s="49">
        <f ca="1"/>
        <v>1.2971297110153536E-22</v>
      </c>
      <c r="AE89" s="49">
        <f ca="1"/>
        <v>1.7114847945327103E-23</v>
      </c>
      <c r="AF89" s="49">
        <f ca="1"/>
        <v>2.4301224939993338E-24</v>
      </c>
      <c r="AG89" s="49">
        <f ca="1"/>
        <v>3.6952819621391937E-25</v>
      </c>
      <c r="AH89" s="49">
        <f ca="1"/>
        <v>5.991382052265605E-26</v>
      </c>
      <c r="AI89" s="49">
        <f ca="1"/>
        <v>1.0316559843056657E-26</v>
      </c>
      <c r="AJ89" s="49">
        <f ca="1"/>
        <v>1.8797148492253316E-27</v>
      </c>
      <c r="AK89" s="49">
        <f ca="1"/>
        <v>3.6120507557260671E-28</v>
      </c>
      <c r="AL89" s="49">
        <f ca="1"/>
        <v>7.2978699225101655E-29</v>
      </c>
      <c r="AM89" s="49">
        <f ca="1"/>
        <v>1.5459716281012945E-29</v>
      </c>
      <c r="AN89" s="49">
        <f ca="1"/>
        <v>3.4249067452247737E-30</v>
      </c>
      <c r="AO89" s="49">
        <f ca="1"/>
        <v>7.9159452001030073E-31</v>
      </c>
      <c r="AP89" s="49">
        <f ca="1"/>
        <v>1.9046111876819946E-31</v>
      </c>
      <c r="AQ89" s="49">
        <f ca="1"/>
        <v>4.760717596039509E-32</v>
      </c>
      <c r="AR89" s="49">
        <f ca="1"/>
        <v>1.2338937107830311E-32</v>
      </c>
      <c r="AS89" s="49">
        <f ca="1"/>
        <v>3.3102201598523646E-33</v>
      </c>
      <c r="AT89" s="49">
        <f ca="1"/>
        <v>9.1769217284002381E-34</v>
      </c>
      <c r="AU89" s="49">
        <f ca="1"/>
        <v>2.6250250991189218E-34</v>
      </c>
      <c r="AV89" s="49">
        <f ca="1"/>
        <v>7.7365147248597411E-35</v>
      </c>
      <c r="AW89" s="49">
        <f ca="1"/>
        <v>2.3461302027480986E-35</v>
      </c>
      <c r="AX89" s="49">
        <f ca="1"/>
        <v>7.3115593473504135E-36</v>
      </c>
      <c r="AY89" s="49">
        <f ca="1"/>
        <v>2.3388870032784368E-36</v>
      </c>
      <c r="AZ89" s="49">
        <f ca="1"/>
        <v>7.6713387459439261E-37</v>
      </c>
      <c r="BA89" s="49">
        <f ca="1"/>
        <v>2.5771849849444725E-37</v>
      </c>
      <c r="BB89" s="49">
        <f ca="1"/>
        <v>8.8594462503583499E-38</v>
      </c>
      <c r="BC89" s="49">
        <f ca="1"/>
        <v>3.1134029924102684E-38</v>
      </c>
      <c r="BD89" s="49">
        <f ca="1"/>
        <v>1.1171518259431725E-38</v>
      </c>
      <c r="BE89" s="49">
        <f ca="1"/>
        <v>4.0802929881049408E-39</v>
      </c>
      <c r="BF89" s="49">
        <f ca="1"/>
        <v>1.4926929289078556E-39</v>
      </c>
      <c r="BG89" s="49">
        <f ca="1"/>
        <v>4.8988770431462361E-40</v>
      </c>
    </row>
    <row r="90" spans="1:60" x14ac:dyDescent="0.25">
      <c r="H90" s="26">
        <f t="shared" si="96"/>
        <v>5</v>
      </c>
      <c r="K90">
        <f ca="1"/>
        <v>5.6626624315387739E-10</v>
      </c>
      <c r="L90">
        <f ca="1"/>
        <v>3.143219276347644E-7</v>
      </c>
      <c r="M90">
        <f ca="1"/>
        <v>7.7753122176098569E-5</v>
      </c>
      <c r="N90">
        <f ca="1"/>
        <v>1.0867436220712134E-2</v>
      </c>
      <c r="O90">
        <f ca="1"/>
        <v>0.97817687566676459</v>
      </c>
      <c r="P90">
        <f ca="1"/>
        <v>1.068088589594581E-2</v>
      </c>
      <c r="Q90">
        <f ca="1"/>
        <v>1.6609770463790996E-4</v>
      </c>
      <c r="R90">
        <f ca="1"/>
        <v>3.4719849152986901E-6</v>
      </c>
      <c r="S90">
        <f ca="1"/>
        <v>9.3483878371233867E-8</v>
      </c>
      <c r="T90">
        <f ca="1"/>
        <v>3.1375889780784422E-9</v>
      </c>
      <c r="U90">
        <f ca="1"/>
        <v>1.2789085846307835E-10</v>
      </c>
      <c r="V90">
        <f ca="1"/>
        <v>6.1979893344508741E-12</v>
      </c>
      <c r="W90">
        <f ca="1"/>
        <v>3.5089292584941927E-13</v>
      </c>
      <c r="X90">
        <f ca="1"/>
        <v>2.2863866461499695E-14</v>
      </c>
      <c r="Y90">
        <f ca="1"/>
        <v>1.6929757329805726E-15</v>
      </c>
      <c r="Z90">
        <f ca="1"/>
        <v>1.408967376010504E-16</v>
      </c>
      <c r="AA90">
        <f ca="1"/>
        <v>1.3053659026112675E-17</v>
      </c>
      <c r="AB90">
        <f ca="1"/>
        <v>1.3349938021288161E-18</v>
      </c>
      <c r="AC90">
        <f ca="1"/>
        <v>1.4958791983664E-19</v>
      </c>
      <c r="AD90" s="49">
        <f ca="1"/>
        <v>1.8242893584305341E-20</v>
      </c>
      <c r="AE90" s="49">
        <f ca="1"/>
        <v>2.4070403069695285E-21</v>
      </c>
      <c r="AF90" s="49">
        <f ca="1"/>
        <v>3.4177357652346451E-22</v>
      </c>
      <c r="AG90" s="49">
        <f ca="1"/>
        <v>5.1970620229290562E-23</v>
      </c>
      <c r="AH90" s="49">
        <f ca="1"/>
        <v>8.4263080456958731E-24</v>
      </c>
      <c r="AI90" s="49">
        <f ca="1"/>
        <v>1.4509258540202595E-24</v>
      </c>
      <c r="AJ90" s="49">
        <f ca="1"/>
        <v>2.6436398512847257E-25</v>
      </c>
      <c r="AK90" s="49">
        <f ca="1"/>
        <v>5.0800052607106127E-26</v>
      </c>
      <c r="AL90" s="49">
        <f ca="1"/>
        <v>1.0263758763511953E-26</v>
      </c>
      <c r="AM90" s="49">
        <f ca="1"/>
        <v>2.1742618071503997E-27</v>
      </c>
      <c r="AN90" s="49">
        <f ca="1"/>
        <v>4.8168050395204902E-28</v>
      </c>
      <c r="AO90" s="49">
        <f ca="1"/>
        <v>1.1133022756192383E-28</v>
      </c>
      <c r="AP90" s="49">
        <f ca="1"/>
        <v>2.6786541794006261E-29</v>
      </c>
      <c r="AQ90" s="49">
        <f ca="1"/>
        <v>6.6954957358501755E-30</v>
      </c>
      <c r="AR90" s="49">
        <f ca="1"/>
        <v>1.7353539487225597E-30</v>
      </c>
      <c r="AS90" s="49">
        <f ca="1"/>
        <v>4.6555092836119697E-31</v>
      </c>
      <c r="AT90" s="49">
        <f ca="1"/>
        <v>1.2906466107515086E-31</v>
      </c>
      <c r="AU90" s="49">
        <f ca="1"/>
        <v>3.6918477105787491E-32</v>
      </c>
      <c r="AV90" s="49">
        <f ca="1"/>
        <v>1.0880670887458917E-32</v>
      </c>
      <c r="AW90" s="49">
        <f ca="1"/>
        <v>3.29960860970146E-33</v>
      </c>
      <c r="AX90" s="49">
        <f ca="1"/>
        <v>1.0283011635331187E-33</v>
      </c>
      <c r="AY90" s="49">
        <f ca="1"/>
        <v>3.2894217397213178E-34</v>
      </c>
      <c r="AZ90" s="49">
        <f ca="1"/>
        <v>1.0789007082558216E-34</v>
      </c>
      <c r="BA90" s="49">
        <f ca="1"/>
        <v>3.6245651478146642E-35</v>
      </c>
      <c r="BB90" s="49">
        <f ca="1"/>
        <v>1.2459967094165751E-35</v>
      </c>
      <c r="BC90" s="49">
        <f ca="1"/>
        <v>4.3787046887653973E-36</v>
      </c>
      <c r="BD90" s="49">
        <f ca="1"/>
        <v>1.5711676099255172E-36</v>
      </c>
      <c r="BE90" s="49">
        <f ca="1"/>
        <v>5.7385433501881004E-37</v>
      </c>
      <c r="BF90" s="49">
        <f ca="1"/>
        <v>2.0993303927018556E-37</v>
      </c>
      <c r="BG90" s="49">
        <f ca="1"/>
        <v>6.8898038354820601E-38</v>
      </c>
    </row>
    <row r="91" spans="1:60" x14ac:dyDescent="0.25">
      <c r="H91" s="26">
        <f t="shared" si="96"/>
        <v>6</v>
      </c>
      <c r="K91">
        <f ca="1"/>
        <v>8.9037518711029144E-12</v>
      </c>
      <c r="L91">
        <f ca="1"/>
        <v>4.9422766854675527E-9</v>
      </c>
      <c r="M91">
        <f ca="1"/>
        <v>1.2225600862303333E-6</v>
      </c>
      <c r="N91">
        <f ca="1"/>
        <v>1.7087537312013737E-4</v>
      </c>
      <c r="O91" s="12">
        <f ca="1"/>
        <v>1.538047569016197E-2</v>
      </c>
      <c r="P91">
        <f ca="1"/>
        <v>0.96902730296914708</v>
      </c>
      <c r="Q91">
        <f ca="1"/>
        <v>1.5069275369352422E-2</v>
      </c>
      <c r="R91">
        <f ca="1"/>
        <v>3.1499710896626187E-4</v>
      </c>
      <c r="S91">
        <f ca="1"/>
        <v>8.4813592628639131E-6</v>
      </c>
      <c r="T91">
        <f ca="1"/>
        <v>2.8465891452010887E-7</v>
      </c>
      <c r="U91">
        <f ca="1"/>
        <v>1.160294519183341E-8</v>
      </c>
      <c r="V91">
        <f ca="1"/>
        <v>5.6231486293418782E-10</v>
      </c>
      <c r="W91">
        <f ca="1"/>
        <v>3.1834889809644002E-11</v>
      </c>
      <c r="X91">
        <f ca="1"/>
        <v>2.0743326975380872E-12</v>
      </c>
      <c r="Y91">
        <f ca="1"/>
        <v>1.5359584630944196E-13</v>
      </c>
      <c r="Z91">
        <f ca="1"/>
        <v>1.2782908362172637E-14</v>
      </c>
      <c r="AA91">
        <f ca="1"/>
        <v>1.1842980182715177E-15</v>
      </c>
      <c r="AB91">
        <f ca="1"/>
        <v>1.2111780391254327E-16</v>
      </c>
      <c r="AC91">
        <f ca="1"/>
        <v>1.3571419068439381E-17</v>
      </c>
      <c r="AD91" s="49">
        <f ca="1"/>
        <v>1.6550932329557628E-18</v>
      </c>
      <c r="AE91" s="49">
        <f ca="1"/>
        <v>2.1837961752648832E-19</v>
      </c>
      <c r="AF91" s="49">
        <f ca="1"/>
        <v>3.1007533486558696E-20</v>
      </c>
      <c r="AG91" s="49">
        <f ca="1"/>
        <v>4.7150536430258983E-21</v>
      </c>
      <c r="AH91" s="37">
        <f ca="1"/>
        <v>7.6447989792749708E-22</v>
      </c>
      <c r="AI91" s="49">
        <f ca="1"/>
        <v>1.3163578197789144E-22</v>
      </c>
      <c r="AJ91" s="49">
        <f ca="1"/>
        <v>2.3984519824189606E-23</v>
      </c>
      <c r="AK91" s="49">
        <f ca="1"/>
        <v>4.6088534647898448E-24</v>
      </c>
      <c r="AL91" s="49">
        <f ca="1"/>
        <v>9.3118329039608294E-25</v>
      </c>
      <c r="AM91" s="49">
        <f ca="1"/>
        <v>1.9726070247894961E-25</v>
      </c>
      <c r="AN91" s="49">
        <f ca="1"/>
        <v>4.3700640956631163E-26</v>
      </c>
      <c r="AO91" s="49">
        <f ca="1"/>
        <v>1.010047585979939E-26</v>
      </c>
      <c r="AP91" s="49">
        <f ca="1"/>
        <v>2.430218860438233E-27</v>
      </c>
      <c r="AQ91" s="49">
        <f ca="1"/>
        <v>6.0745131425990074E-28</v>
      </c>
      <c r="AR91" s="49">
        <f ca="1"/>
        <v>1.5744062552580732E-28</v>
      </c>
      <c r="AS91" s="49">
        <f ca="1"/>
        <v>4.2237279276232246E-29</v>
      </c>
      <c r="AT91" s="49">
        <f ca="1"/>
        <v>1.1709438865717381E-29</v>
      </c>
      <c r="AU91" s="49">
        <f ca="1"/>
        <v>3.3494424196712676E-30</v>
      </c>
      <c r="AV91" s="49">
        <f ca="1"/>
        <v>9.8715286983557559E-31</v>
      </c>
      <c r="AW91" s="49">
        <f ca="1"/>
        <v>2.9935820521464775E-31</v>
      </c>
      <c r="AX91" s="49">
        <f ca="1"/>
        <v>9.3293001427602661E-32</v>
      </c>
      <c r="AY91" s="49">
        <f ca="1"/>
        <v>2.9843399768741429E-32</v>
      </c>
      <c r="AZ91" s="49">
        <f ca="1"/>
        <v>9.7883663740802645E-33</v>
      </c>
      <c r="BA91" s="37">
        <f ca="1"/>
        <v>3.2884000670356299E-33</v>
      </c>
      <c r="BB91" s="49">
        <f ca="1"/>
        <v>1.1304350992951582E-33</v>
      </c>
      <c r="BC91" s="49">
        <f ca="1"/>
        <v>3.9725959404390383E-34</v>
      </c>
      <c r="BD91" s="49">
        <f ca="1"/>
        <v>1.4254475952565959E-34</v>
      </c>
      <c r="BE91" s="49">
        <f ca="1"/>
        <v>5.2063145695761499E-35</v>
      </c>
      <c r="BF91" s="49">
        <f ca="1"/>
        <v>1.9046252233189855E-35</v>
      </c>
      <c r="BG91" s="49">
        <f ca="1"/>
        <v>6.2507998809516894E-36</v>
      </c>
    </row>
    <row r="92" spans="1:60" x14ac:dyDescent="0.25">
      <c r="H92" s="26">
        <f t="shared" si="96"/>
        <v>7</v>
      </c>
      <c r="K92">
        <f ca="1"/>
        <v>1.8846164743963304E-13</v>
      </c>
      <c r="L92">
        <f ca="1"/>
        <v>1.0461091231311765E-10</v>
      </c>
      <c r="M92">
        <f ca="1"/>
        <v>2.587737071747125E-8</v>
      </c>
      <c r="N92">
        <f ca="1"/>
        <v>3.6168409442764509E-6</v>
      </c>
      <c r="O92">
        <f ca="1"/>
        <v>3.2555150109030352E-4</v>
      </c>
      <c r="P92">
        <f ca="1"/>
        <v>2.051095814161857E-2</v>
      </c>
      <c r="Q92">
        <f ca="1"/>
        <v>0.95853783458036135</v>
      </c>
      <c r="R92">
        <f ca="1"/>
        <v>2.0036573712208301E-2</v>
      </c>
      <c r="S92">
        <f ca="1"/>
        <v>5.3948869755593475E-4</v>
      </c>
      <c r="T92">
        <f ca="1"/>
        <v>1.8106798955511219E-5</v>
      </c>
      <c r="U92">
        <f ca="1"/>
        <v>7.3804888996547406E-7</v>
      </c>
      <c r="V92">
        <f ca="1"/>
        <v>3.576814796055132E-8</v>
      </c>
      <c r="W92">
        <f ca="1"/>
        <v>2.0249776843484614E-9</v>
      </c>
      <c r="X92">
        <f ca="1"/>
        <v>1.3194571891235159E-10</v>
      </c>
      <c r="Y92">
        <f ca="1"/>
        <v>9.7700404507451343E-12</v>
      </c>
      <c r="Z92">
        <f ca="1"/>
        <v>8.13104877360981E-13</v>
      </c>
      <c r="AA92">
        <f ca="1"/>
        <v>7.5331721672598047E-14</v>
      </c>
      <c r="AB92">
        <f ca="1"/>
        <v>7.7041526314909391E-15</v>
      </c>
      <c r="AC92">
        <f ca="1"/>
        <v>8.6326106114573828E-16</v>
      </c>
      <c r="AD92" s="49">
        <f ca="1"/>
        <v>1.0527841881319357E-16</v>
      </c>
      <c r="AE92" s="49">
        <f ca="1"/>
        <v>1.3890855437285906E-17</v>
      </c>
      <c r="AF92" s="49">
        <f ca="1"/>
        <v>1.9723505792675197E-18</v>
      </c>
      <c r="AG92" s="49">
        <f ca="1"/>
        <v>2.9991868873191277E-19</v>
      </c>
      <c r="AH92" s="49">
        <f ca="1"/>
        <v>4.8627614001264942E-20</v>
      </c>
      <c r="AI92" s="49">
        <f ca="1"/>
        <v>8.3731881140747188E-21</v>
      </c>
      <c r="AJ92" s="49">
        <f ca="1"/>
        <v>1.5256254287107381E-21</v>
      </c>
      <c r="AK92" s="49">
        <f ca="1"/>
        <v>2.931634276869479E-22</v>
      </c>
      <c r="AL92" s="49">
        <f ca="1"/>
        <v>5.9231409135237943E-23</v>
      </c>
      <c r="AM92" s="49">
        <f ca="1"/>
        <v>1.2547507558759196E-23</v>
      </c>
      <c r="AN92" s="49">
        <f ca="1"/>
        <v>2.7797433337461923E-24</v>
      </c>
      <c r="AO92" s="49">
        <f ca="1"/>
        <v>6.4247868736765782E-25</v>
      </c>
      <c r="AP92" s="49">
        <f ca="1"/>
        <v>1.5458319441015844E-25</v>
      </c>
      <c r="AQ92" s="49">
        <f ca="1"/>
        <v>3.8639221403298422E-26</v>
      </c>
      <c r="AR92" s="49">
        <f ca="1"/>
        <v>1.001460206729039E-26</v>
      </c>
      <c r="AS92" s="49">
        <f ca="1"/>
        <v>2.6866607201528267E-27</v>
      </c>
      <c r="AT92" s="49">
        <f ca="1"/>
        <v>7.4482281990299792E-28</v>
      </c>
      <c r="AU92" s="49">
        <f ca="1"/>
        <v>2.1305385994424708E-28</v>
      </c>
      <c r="AV92" s="49">
        <f ca="1"/>
        <v>6.2791564362569898E-29</v>
      </c>
      <c r="AW92" s="49">
        <f ca="1"/>
        <v>1.9041802525813354E-29</v>
      </c>
      <c r="AX92" s="49">
        <f ca="1"/>
        <v>5.9342516065362546E-30</v>
      </c>
      <c r="AY92" s="49">
        <f ca="1"/>
        <v>1.8983014836283244E-30</v>
      </c>
      <c r="AZ92" s="49">
        <f ca="1"/>
        <v>6.2262579177311295E-31</v>
      </c>
      <c r="BA92" s="49">
        <f ca="1"/>
        <v>2.0917103193301736E-31</v>
      </c>
      <c r="BB92" s="49">
        <f ca="1"/>
        <v>7.1905568493077527E-32</v>
      </c>
      <c r="BC92" s="49">
        <f ca="1"/>
        <v>2.526918791434102E-32</v>
      </c>
      <c r="BD92" s="49">
        <f ca="1"/>
        <v>9.0670945866706093E-33</v>
      </c>
      <c r="BE92" s="49">
        <f ca="1"/>
        <v>3.3116718431034717E-33</v>
      </c>
      <c r="BF92" s="49">
        <f ca="1"/>
        <v>1.2115083788038657E-33</v>
      </c>
      <c r="BG92" s="49">
        <f ca="1"/>
        <v>3.976055938607547E-34</v>
      </c>
    </row>
    <row r="93" spans="1:60" x14ac:dyDescent="0.25">
      <c r="H93" s="26">
        <f t="shared" si="96"/>
        <v>8</v>
      </c>
      <c r="K93">
        <f ca="1"/>
        <v>5.1454229108701918E-15</v>
      </c>
      <c r="L93">
        <f ca="1"/>
        <v>2.8561110032499468E-12</v>
      </c>
      <c r="M93">
        <f ca="1"/>
        <v>7.065098813030796E-10</v>
      </c>
      <c r="N93">
        <f ca="1"/>
        <v>9.8747816929778947E-8</v>
      </c>
      <c r="O93">
        <f ca="1"/>
        <v>8.8882813831646463E-6</v>
      </c>
      <c r="P93">
        <f ca="1"/>
        <v>5.5999486038446546E-4</v>
      </c>
      <c r="Q93">
        <f ca="1"/>
        <v>2.6170218726149618E-2</v>
      </c>
      <c r="R93">
        <f ca="1"/>
        <v>0.94684735529049247</v>
      </c>
      <c r="S93">
        <f ca="1"/>
        <v>2.5494051718967806E-2</v>
      </c>
      <c r="T93">
        <f ca="1"/>
        <v>8.556540130090389E-4</v>
      </c>
      <c r="U93">
        <f ca="1"/>
        <v>3.4877202538530894E-5</v>
      </c>
      <c r="V93">
        <f ca="1"/>
        <v>1.6902578647691576E-6</v>
      </c>
      <c r="W93">
        <f ca="1"/>
        <v>9.569224721187566E-8</v>
      </c>
      <c r="X93">
        <f ca="1"/>
        <v>6.2352204917121814E-9</v>
      </c>
      <c r="Y93">
        <f ca="1"/>
        <v>4.6169255755701782E-10</v>
      </c>
      <c r="Z93">
        <f ca="1"/>
        <v>3.8424044637629471E-11</v>
      </c>
      <c r="AA93">
        <f ca="1"/>
        <v>3.5598721847198321E-12</v>
      </c>
      <c r="AB93">
        <f ca="1"/>
        <v>3.6406706299474953E-13</v>
      </c>
      <c r="AC93">
        <f ca="1"/>
        <v>4.0794222825286651E-14</v>
      </c>
      <c r="AD93" s="49">
        <f ca="1"/>
        <v>4.9750318519628165E-15</v>
      </c>
      <c r="AE93" s="49">
        <f ca="1"/>
        <v>6.5642559064391709E-16</v>
      </c>
      <c r="AF93" s="49">
        <f ca="1"/>
        <v>9.3205303287320184E-17</v>
      </c>
      <c r="AG93" s="49">
        <f ca="1"/>
        <v>1.4172943004470692E-17</v>
      </c>
      <c r="AH93" s="49">
        <f ca="1"/>
        <v>2.2979441681254431E-18</v>
      </c>
      <c r="AI93" s="49">
        <f ca="1"/>
        <v>3.9568297130216506E-19</v>
      </c>
      <c r="AJ93" s="49">
        <f ca="1"/>
        <v>7.2094881245016955E-20</v>
      </c>
      <c r="AK93" s="49">
        <f ca="1"/>
        <v>1.3853716716254326E-20</v>
      </c>
      <c r="AL93" s="49">
        <f ca="1"/>
        <v>2.7990365965443323E-21</v>
      </c>
      <c r="AM93" s="49">
        <f ca="1"/>
        <v>5.9294440846738995E-22</v>
      </c>
      <c r="AN93" s="49">
        <f ca="1"/>
        <v>1.3135941612314102E-22</v>
      </c>
      <c r="AO93" s="49">
        <f ca="1"/>
        <v>3.0360941681057892E-23</v>
      </c>
      <c r="AP93" s="49">
        <f ca="1"/>
        <v>7.3049759356028625E-24</v>
      </c>
      <c r="AQ93" s="49">
        <f ca="1"/>
        <v>1.8259331720924599E-24</v>
      </c>
      <c r="AR93" s="49">
        <f ca="1"/>
        <v>4.7324954944382684E-25</v>
      </c>
      <c r="AS93" s="49">
        <f ca="1"/>
        <v>1.2696070865097954E-25</v>
      </c>
      <c r="AT93" s="49">
        <f ca="1"/>
        <v>3.5197311043028326E-26</v>
      </c>
      <c r="AU93" s="49">
        <f ca="1"/>
        <v>1.006806286943797E-26</v>
      </c>
      <c r="AV93" s="49">
        <f ca="1"/>
        <v>2.9672751192498872E-27</v>
      </c>
      <c r="AW93" s="49">
        <f ca="1"/>
        <v>8.9983849636650662E-28</v>
      </c>
      <c r="AX93" s="49">
        <f ca="1"/>
        <v>2.8042870602440624E-28</v>
      </c>
      <c r="AY93" s="49">
        <f ca="1"/>
        <v>8.9706042816209567E-29</v>
      </c>
      <c r="AZ93" s="49">
        <f ca="1"/>
        <v>2.9422774209984747E-29</v>
      </c>
      <c r="BA93" s="49">
        <f ca="1"/>
        <v>9.8845761373106791E-30</v>
      </c>
      <c r="BB93" s="49">
        <f ca="1"/>
        <v>3.397966056284684E-30</v>
      </c>
      <c r="BC93" s="49">
        <f ca="1"/>
        <v>1.1941195181716172E-30</v>
      </c>
      <c r="BD93" s="49">
        <f ca="1"/>
        <v>4.2847418190700263E-31</v>
      </c>
      <c r="BE93" s="49">
        <f ca="1"/>
        <v>1.5649620395536786E-31</v>
      </c>
      <c r="BF93" s="49">
        <f ca="1"/>
        <v>5.7250981173681159E-32</v>
      </c>
      <c r="BG93" s="49">
        <f ca="1"/>
        <v>1.8789230654060212E-32</v>
      </c>
    </row>
    <row r="94" spans="1:60" x14ac:dyDescent="0.25">
      <c r="H94" s="26">
        <f t="shared" si="96"/>
        <v>9</v>
      </c>
      <c r="K94">
        <f ca="1"/>
        <v>1.753416192643709E-16</v>
      </c>
      <c r="L94">
        <f ca="1"/>
        <v>9.7328273454579534E-14</v>
      </c>
      <c r="M94">
        <f ca="1"/>
        <v>2.4075880400860936E-11</v>
      </c>
      <c r="N94">
        <f ca="1"/>
        <v>3.3650493689664204E-9</v>
      </c>
      <c r="O94">
        <f ca="1"/>
        <v>3.0288776592279779E-7</v>
      </c>
      <c r="P94">
        <f ca="1"/>
        <v>1.9083058341443808E-5</v>
      </c>
      <c r="Q94">
        <f ca="1"/>
        <v>8.9180784698021881E-4</v>
      </c>
      <c r="R94">
        <f ca="1"/>
        <v>3.2265909206818634E-2</v>
      </c>
      <c r="S94">
        <f ca="1"/>
        <v>0.93410111101256177</v>
      </c>
      <c r="T94">
        <f ca="1"/>
        <v>3.1351131354277362E-2</v>
      </c>
      <c r="U94">
        <f ca="1"/>
        <v>1.2778994096106307E-3</v>
      </c>
      <c r="V94">
        <f ca="1"/>
        <v>6.1930985579820391E-5</v>
      </c>
      <c r="W94">
        <f ca="1"/>
        <v>3.5061603946381577E-6</v>
      </c>
      <c r="X94">
        <f ca="1"/>
        <v>2.2845824794429551E-7</v>
      </c>
      <c r="Y94">
        <f ca="1"/>
        <v>1.6916398213759586E-8</v>
      </c>
      <c r="Z94">
        <f ca="1"/>
        <v>1.4078555727923788E-9</v>
      </c>
      <c r="AA94">
        <f ca="1"/>
        <v>1.3043358503644486E-10</v>
      </c>
      <c r="AB94">
        <f ca="1"/>
        <v>1.3339403707785554E-11</v>
      </c>
      <c r="AC94">
        <f ca="1"/>
        <v>1.494698813827349E-12</v>
      </c>
      <c r="AD94" s="49">
        <f ca="1"/>
        <v>1.8228498284499057E-13</v>
      </c>
      <c r="AE94" s="49">
        <f ca="1"/>
        <v>2.4051409335667015E-14</v>
      </c>
      <c r="AF94" s="49">
        <f ca="1"/>
        <v>3.4150388613267289E-15</v>
      </c>
      <c r="AG94" s="49">
        <f ca="1"/>
        <v>5.1929610690104157E-16</v>
      </c>
      <c r="AH94" s="49">
        <f ca="1"/>
        <v>8.4196589233942317E-17</v>
      </c>
      <c r="AI94" s="49">
        <f ca="1"/>
        <v>1.4497809417524337E-17</v>
      </c>
      <c r="AJ94" s="49">
        <f ca="1"/>
        <v>2.6415537793541288E-18</v>
      </c>
      <c r="AK94" s="49">
        <f ca="1"/>
        <v>5.0759966752081275E-19</v>
      </c>
      <c r="AL94" s="49">
        <f ca="1"/>
        <v>1.0255659725721851E-19</v>
      </c>
      <c r="AM94" s="49">
        <f ca="1"/>
        <v>2.1725461171242185E-20</v>
      </c>
      <c r="AN94" s="49">
        <f ca="1"/>
        <v>4.8130041428956269E-21</v>
      </c>
      <c r="AO94" s="49">
        <f ca="1"/>
        <v>1.1124237790167944E-21</v>
      </c>
      <c r="AP94" s="49">
        <f ca="1"/>
        <v>2.6765404779852437E-22</v>
      </c>
      <c r="AQ94" s="49">
        <f ca="1"/>
        <v>6.6902123816485057E-23</v>
      </c>
      <c r="AR94" s="49">
        <f ca="1"/>
        <v>1.7339845968570546E-23</v>
      </c>
      <c r="AS94" s="49">
        <f ca="1"/>
        <v>4.6518356639869464E-24</v>
      </c>
      <c r="AT94" s="49">
        <f ca="1"/>
        <v>1.289628173362732E-24</v>
      </c>
      <c r="AU94" s="49">
        <f ca="1"/>
        <v>3.6889345074518809E-25</v>
      </c>
      <c r="AV94" s="49">
        <f ca="1"/>
        <v>1.0872085049976797E-25</v>
      </c>
      <c r="AW94" s="49">
        <f ca="1"/>
        <v>3.2970049188472359E-26</v>
      </c>
      <c r="AX94" s="49">
        <f ca="1"/>
        <v>1.0274897405276725E-26</v>
      </c>
      <c r="AY94" s="49">
        <f ca="1"/>
        <v>3.286826087232651E-27</v>
      </c>
      <c r="AZ94" s="49">
        <f ca="1"/>
        <v>1.0780493576142812E-27</v>
      </c>
      <c r="BA94" s="49">
        <f ca="1"/>
        <v>3.6217050367402296E-28</v>
      </c>
      <c r="BB94" s="49">
        <f ca="1"/>
        <v>1.2450135048549299E-28</v>
      </c>
      <c r="BC94" s="49">
        <f ca="1"/>
        <v>4.3752494931043219E-29</v>
      </c>
      <c r="BD94" s="49">
        <f ca="1"/>
        <v>1.5699278159922643E-29</v>
      </c>
      <c r="BE94" s="49">
        <f ca="1"/>
        <v>5.73401511832644E-30</v>
      </c>
      <c r="BF94" s="49">
        <f ca="1"/>
        <v>2.0976738303667342E-30</v>
      </c>
      <c r="BG94" s="49">
        <f ca="1"/>
        <v>6.8843671545432664E-31</v>
      </c>
    </row>
    <row r="95" spans="1:60" x14ac:dyDescent="0.25">
      <c r="H95" s="26">
        <f t="shared" si="96"/>
        <v>10</v>
      </c>
      <c r="K95">
        <f ca="1"/>
        <v>7.2653965448382384E-18</v>
      </c>
      <c r="L95">
        <f ca="1"/>
        <v>4.0328617052737611E-15</v>
      </c>
      <c r="M95">
        <f ca="1"/>
        <v>9.9760010779082197E-13</v>
      </c>
      <c r="N95">
        <f ca="1"/>
        <v>1.3943305737148852E-10</v>
      </c>
      <c r="O95">
        <f ca="1"/>
        <v>1.2550355912313772E-8</v>
      </c>
      <c r="P95">
        <f ca="1"/>
        <v>7.9071920700030261E-7</v>
      </c>
      <c r="Q95">
        <f ca="1"/>
        <v>3.6952650929614749E-5</v>
      </c>
      <c r="R95">
        <f ca="1"/>
        <v>1.3369593953266236E-3</v>
      </c>
      <c r="S95">
        <f ca="1"/>
        <v>3.8705100437379458E-2</v>
      </c>
      <c r="T95">
        <f ca="1"/>
        <v>0.92044647967980364</v>
      </c>
      <c r="U95">
        <f ca="1"/>
        <v>3.7518199891071094E-2</v>
      </c>
      <c r="V95">
        <f ca="1"/>
        <v>1.818248822215759E-3</v>
      </c>
      <c r="W95">
        <f ca="1"/>
        <v>1.0293832640260171E-4</v>
      </c>
      <c r="X95">
        <f ca="1"/>
        <v>6.7073684741349122E-6</v>
      </c>
      <c r="Y95">
        <f ca="1"/>
        <v>4.9665318322212205E-7</v>
      </c>
      <c r="Z95">
        <f ca="1"/>
        <v>4.1333618593561212E-8</v>
      </c>
      <c r="AA95">
        <f ca="1"/>
        <v>3.8294354619018276E-9</v>
      </c>
      <c r="AB95">
        <f ca="1"/>
        <v>3.9163521868194933E-10</v>
      </c>
      <c r="AC95">
        <f ca="1"/>
        <v>4.3883273168745055E-11</v>
      </c>
      <c r="AD95" s="49">
        <f ca="1"/>
        <v>5.3517548972048053E-12</v>
      </c>
      <c r="AE95" s="49">
        <f ca="1"/>
        <v>7.061319352142706E-13</v>
      </c>
      <c r="AF95" s="49">
        <f ca="1"/>
        <v>1.0026306426894069E-13</v>
      </c>
      <c r="AG95" s="49">
        <f ca="1"/>
        <v>1.5246157087829538E-14</v>
      </c>
      <c r="AH95" s="49">
        <f ca="1"/>
        <v>2.4719507977454613E-15</v>
      </c>
      <c r="AI95" s="49">
        <f ca="1"/>
        <v>4.2564517020558307E-16</v>
      </c>
      <c r="AJ95" s="49">
        <f ca="1"/>
        <v>7.7554103219297757E-17</v>
      </c>
      <c r="AK95" s="49">
        <f ca="1"/>
        <v>1.4902758110272354E-17</v>
      </c>
      <c r="AL95" s="49">
        <f ca="1"/>
        <v>3.0109873180212076E-18</v>
      </c>
      <c r="AM95" s="49">
        <f ca="1"/>
        <v>6.3784378396162235E-19</v>
      </c>
      <c r="AN95" s="49">
        <f ca="1"/>
        <v>1.413063110849482E-19</v>
      </c>
      <c r="AO95" s="49">
        <f ca="1"/>
        <v>3.2659955385259609E-20</v>
      </c>
      <c r="AP95" s="49">
        <f ca="1"/>
        <v>7.8581287317591366E-21</v>
      </c>
      <c r="AQ95" s="49">
        <f ca="1"/>
        <v>1.9641978356096686E-21</v>
      </c>
      <c r="AR95" s="49">
        <f ca="1"/>
        <v>5.0908530220499531E-22</v>
      </c>
      <c r="AS95" s="49">
        <f ca="1"/>
        <v>1.3657452142892343E-22</v>
      </c>
      <c r="AT95" s="49">
        <f ca="1"/>
        <v>3.7862547888743748E-23</v>
      </c>
      <c r="AU95" s="49">
        <f ca="1"/>
        <v>1.0830444180095521E-23</v>
      </c>
      <c r="AV95" s="49">
        <f ca="1"/>
        <v>3.191965322701264E-24</v>
      </c>
      <c r="AW95" s="49">
        <f ca="1"/>
        <v>9.6797673319878334E-25</v>
      </c>
      <c r="AX95" s="49">
        <f ca="1"/>
        <v>3.0166353612204769E-25</v>
      </c>
      <c r="AY95" s="49">
        <f ca="1"/>
        <v>9.649883020570092E-26</v>
      </c>
      <c r="AZ95" s="49">
        <f ca="1"/>
        <v>3.1650747302353961E-26</v>
      </c>
      <c r="BA95" s="49">
        <f ca="1"/>
        <v>1.0633063329790629E-26</v>
      </c>
      <c r="BB95" s="49">
        <f ca="1"/>
        <v>3.6552693577394151E-27</v>
      </c>
      <c r="BC95" s="49">
        <f ca="1"/>
        <v>1.2845415204128746E-27</v>
      </c>
      <c r="BD95" s="49">
        <f ca="1"/>
        <v>4.6091942113735887E-28</v>
      </c>
      <c r="BE95" s="49">
        <f ca="1"/>
        <v>1.683465253758463E-28</v>
      </c>
      <c r="BF95" s="49">
        <f ca="1"/>
        <v>6.1586182356831726E-29</v>
      </c>
      <c r="BG95" s="49">
        <f ca="1"/>
        <v>2.0212002688566694E-29</v>
      </c>
    </row>
    <row r="96" spans="1:60" x14ac:dyDescent="0.25">
      <c r="H96" s="26">
        <f t="shared" si="96"/>
        <v>11</v>
      </c>
      <c r="K96">
        <f ca="1"/>
        <v>3.5833410535925405E-19</v>
      </c>
      <c r="L96">
        <f ca="1"/>
        <v>1.989033746855236E-16</v>
      </c>
      <c r="M96">
        <f ca="1"/>
        <v>4.9202289224734764E-14</v>
      </c>
      <c r="N96">
        <f ca="1"/>
        <v>6.876929505825108E-12</v>
      </c>
      <c r="O96">
        <f ca="1"/>
        <v>6.1899175496129913E-10</v>
      </c>
      <c r="P96">
        <f ca="1"/>
        <v>3.8998788005884519E-8</v>
      </c>
      <c r="Q96">
        <f ca="1"/>
        <v>1.822528891547395E-6</v>
      </c>
      <c r="R96">
        <f ca="1"/>
        <v>6.5939711049409951E-5</v>
      </c>
      <c r="S96">
        <f ca="1"/>
        <v>1.9089608464553862E-3</v>
      </c>
      <c r="T96">
        <f ca="1"/>
        <v>4.5397021868196018E-2</v>
      </c>
      <c r="U96">
        <f ca="1"/>
        <v>0.90602921461993391</v>
      </c>
      <c r="V96">
        <f ca="1"/>
        <v>4.3908997690686728E-2</v>
      </c>
      <c r="W96">
        <f ca="1"/>
        <v>2.4858636953697683E-3</v>
      </c>
      <c r="X96">
        <f ca="1"/>
        <v>1.6197663556436333E-4</v>
      </c>
      <c r="Y96">
        <f ca="1"/>
        <v>1.1993706916634879E-5</v>
      </c>
      <c r="Z96">
        <f ca="1"/>
        <v>9.9816798514996744E-7</v>
      </c>
      <c r="AA96">
        <f ca="1"/>
        <v>9.247726207702085E-8</v>
      </c>
      <c r="AB96">
        <f ca="1"/>
        <v>9.4576219176325356E-9</v>
      </c>
      <c r="AC96">
        <f ca="1"/>
        <v>1.059739743363658E-9</v>
      </c>
      <c r="AD96" s="49">
        <f ca="1"/>
        <v>1.2923984360739079E-10</v>
      </c>
      <c r="AE96" s="49">
        <f ca="1"/>
        <v>1.705242161238389E-11</v>
      </c>
      <c r="AF96" s="49">
        <f ca="1"/>
        <v>2.4212586328427629E-12</v>
      </c>
      <c r="AG96" s="49">
        <f ca="1"/>
        <v>3.6818034373620844E-13</v>
      </c>
      <c r="AH96" s="49">
        <f ca="1"/>
        <v>5.9695285124632346E-14</v>
      </c>
      <c r="AI96" s="49">
        <f ca="1"/>
        <v>1.0278930236200167E-14</v>
      </c>
      <c r="AJ96" s="49">
        <f ca="1"/>
        <v>1.8728585975431145E-15</v>
      </c>
      <c r="AK96" s="49">
        <f ca="1"/>
        <v>3.5988758164099211E-16</v>
      </c>
      <c r="AL96" s="49">
        <f ca="1"/>
        <v>7.2712509739215373E-17</v>
      </c>
      <c r="AM96" s="49">
        <f ca="1"/>
        <v>1.5403327033568324E-17</v>
      </c>
      <c r="AN96" s="49">
        <f ca="1"/>
        <v>3.4124144128675211E-18</v>
      </c>
      <c r="AO96" s="49">
        <f ca="1"/>
        <v>7.8870718246456E-19</v>
      </c>
      <c r="AP96" s="49">
        <f ca="1"/>
        <v>1.8976641267142654E-19</v>
      </c>
      <c r="AQ96" s="49">
        <f ca="1"/>
        <v>4.7433528994527581E-20</v>
      </c>
      <c r="AR96" s="49">
        <f ca="1"/>
        <v>1.2293930888755539E-20</v>
      </c>
      <c r="AS96" s="49">
        <f ca="1"/>
        <v>3.2981461463131035E-21</v>
      </c>
      <c r="AT96" s="49">
        <f ca="1"/>
        <v>9.1434489465770538E-22</v>
      </c>
      <c r="AU96" s="49">
        <f ca="1"/>
        <v>2.6154503315635594E-22</v>
      </c>
      <c r="AV96" s="49">
        <f ca="1"/>
        <v>7.7082958212751462E-23</v>
      </c>
      <c r="AW96" s="49">
        <f ca="1"/>
        <v>2.3375727031061071E-23</v>
      </c>
      <c r="AX96" s="49">
        <f ca="1"/>
        <v>7.2848904666446165E-24</v>
      </c>
      <c r="AY96" s="49">
        <f ca="1"/>
        <v>2.3303559231747976E-24</v>
      </c>
      <c r="AZ96" s="49">
        <f ca="1"/>
        <v>7.6433575714570553E-25</v>
      </c>
      <c r="BA96" s="49">
        <f ca="1"/>
        <v>2.5677847139960928E-25</v>
      </c>
      <c r="BB96" s="49">
        <f ca="1"/>
        <v>8.8271314589512572E-26</v>
      </c>
      <c r="BC96" s="49">
        <f ca="1"/>
        <v>3.1020468686274886E-26</v>
      </c>
      <c r="BD96" s="49">
        <f ca="1"/>
        <v>1.1130770195494944E-26</v>
      </c>
      <c r="BE96" s="49">
        <f ca="1"/>
        <v>4.0654101372963915E-27</v>
      </c>
      <c r="BF96" s="49">
        <f ca="1"/>
        <v>1.4872483379854209E-27</v>
      </c>
      <c r="BG96" s="49">
        <f ca="1"/>
        <v>4.8810084105810949E-28</v>
      </c>
    </row>
    <row r="97" spans="1:59" x14ac:dyDescent="0.25">
      <c r="H97" s="26">
        <f t="shared" si="96"/>
        <v>12</v>
      </c>
      <c r="K97">
        <f ca="1"/>
        <v>2.0666959528006868E-20</v>
      </c>
      <c r="L97">
        <f ca="1"/>
        <v>1.1471774338890854E-17</v>
      </c>
      <c r="M97">
        <f ca="1"/>
        <v>2.8377475235671731E-15</v>
      </c>
      <c r="N97">
        <f ca="1"/>
        <v>3.9662767693115252E-13</v>
      </c>
      <c r="O97">
        <f ca="1"/>
        <v>3.5700418566437023E-11</v>
      </c>
      <c r="P97">
        <f ca="1"/>
        <v>2.2492594517367509E-9</v>
      </c>
      <c r="Q97">
        <f ca="1"/>
        <v>1.051145572718243E-7</v>
      </c>
      <c r="R97">
        <f ca="1"/>
        <v>3.8030801957306048E-6</v>
      </c>
      <c r="S97">
        <f ca="1"/>
        <v>1.1009952991968068E-4</v>
      </c>
      <c r="T97">
        <f ca="1"/>
        <v>2.6182783039906928E-3</v>
      </c>
      <c r="U97">
        <f ca="1"/>
        <v>5.2255336094701565E-2</v>
      </c>
      <c r="V97">
        <f ca="1"/>
        <v>0.89099028043198192</v>
      </c>
      <c r="W97">
        <f ca="1"/>
        <v>5.0442517651068532E-2</v>
      </c>
      <c r="X97">
        <f ca="1"/>
        <v>3.2867889392868511E-3</v>
      </c>
      <c r="Y97">
        <f ca="1"/>
        <v>2.4337326860317089E-4</v>
      </c>
      <c r="Z97">
        <f ca="1"/>
        <v>2.0254572406138804E-5</v>
      </c>
      <c r="AA97">
        <f ca="1"/>
        <v>1.8765252227350039E-6</v>
      </c>
      <c r="AB97">
        <f ca="1"/>
        <v>1.9191167295532225E-7</v>
      </c>
      <c r="AC97">
        <f ca="1"/>
        <v>2.1503970957751432E-8</v>
      </c>
      <c r="AD97" s="49">
        <f ca="1"/>
        <v>2.6225022331393066E-9</v>
      </c>
      <c r="AE97" s="49">
        <f ca="1"/>
        <v>3.4602342830715356E-10</v>
      </c>
      <c r="AF97" s="49">
        <f ca="1"/>
        <v>4.9131568055184866E-11</v>
      </c>
      <c r="AG97" s="49">
        <f ca="1"/>
        <v>7.4710224548042343E-12</v>
      </c>
      <c r="AH97" s="49">
        <f ca="1"/>
        <v>1.2113216340837736E-12</v>
      </c>
      <c r="AI97" s="49">
        <f ca="1"/>
        <v>2.0857745371936158E-13</v>
      </c>
      <c r="AJ97" s="49">
        <f ca="1"/>
        <v>3.8003573180818143E-14</v>
      </c>
      <c r="AK97" s="49">
        <f ca="1"/>
        <v>7.3027478228752152E-15</v>
      </c>
      <c r="AL97" s="49">
        <f ca="1"/>
        <v>1.4754638650564805E-15</v>
      </c>
      <c r="AM97" s="49">
        <f ca="1"/>
        <v>3.1256041802419755E-16</v>
      </c>
      <c r="AN97" s="49">
        <f ca="1"/>
        <v>6.924385056769028E-17</v>
      </c>
      <c r="AO97" s="49">
        <f ca="1"/>
        <v>1.6004246752183744E-17</v>
      </c>
      <c r="AP97" s="49">
        <f ca="1"/>
        <v>3.8506920707631658E-18</v>
      </c>
      <c r="AQ97" s="49">
        <f ca="1"/>
        <v>9.6250917860684353E-19</v>
      </c>
      <c r="AR97" s="49">
        <f ca="1"/>
        <v>2.4946533754531684E-19</v>
      </c>
      <c r="AS97" s="49">
        <f ca="1"/>
        <v>6.6925147791120374E-20</v>
      </c>
      <c r="AT97" s="49">
        <f ca="1"/>
        <v>1.8553655445326077E-20</v>
      </c>
      <c r="AU97" s="49">
        <f ca="1"/>
        <v>5.3072056911697854E-21</v>
      </c>
      <c r="AV97" s="49">
        <f ca="1"/>
        <v>1.5641479005810578E-21</v>
      </c>
      <c r="AW97" s="49">
        <f ca="1"/>
        <v>4.7433434325749065E-22</v>
      </c>
      <c r="AX97" s="49">
        <f ca="1"/>
        <v>1.4782315564376172E-22</v>
      </c>
      <c r="AY97" s="49">
        <f ca="1"/>
        <v>4.7286993251869182E-23</v>
      </c>
      <c r="AZ97" s="49">
        <f ca="1"/>
        <v>1.5509707950994508E-23</v>
      </c>
      <c r="BA97" s="49">
        <f ca="1"/>
        <v>5.2104838250443634E-24</v>
      </c>
      <c r="BB97" s="49">
        <f ca="1"/>
        <v>1.7911791996311324E-24</v>
      </c>
      <c r="BC97" s="49">
        <f ca="1"/>
        <v>6.2945950824511529E-25</v>
      </c>
      <c r="BD97" s="49">
        <f ca="1"/>
        <v>2.2586277481828077E-25</v>
      </c>
      <c r="BE97" s="49">
        <f ca="1"/>
        <v>8.2494274722855396E-26</v>
      </c>
      <c r="BF97" s="49">
        <f ca="1"/>
        <v>3.0178867280650613E-26</v>
      </c>
      <c r="BG97" s="49">
        <f ca="1"/>
        <v>9.9044188691579664E-27</v>
      </c>
    </row>
    <row r="98" spans="1:59" x14ac:dyDescent="0.25">
      <c r="H98" s="26">
        <f t="shared" si="96"/>
        <v>13</v>
      </c>
      <c r="K98">
        <f ca="1"/>
        <v>1.3731708947277778E-21</v>
      </c>
      <c r="L98">
        <f ca="1"/>
        <v>7.6221693915365756E-19</v>
      </c>
      <c r="M98">
        <f ca="1"/>
        <v>1.8854792359116175E-16</v>
      </c>
      <c r="N98">
        <f ca="1"/>
        <v>2.6353057945813654E-14</v>
      </c>
      <c r="O98">
        <f ca="1"/>
        <v>2.3720361787420737E-12</v>
      </c>
      <c r="P98">
        <f ca="1"/>
        <v>1.4944712160638429E-10</v>
      </c>
      <c r="Q98">
        <f ca="1"/>
        <v>6.9841067072426511E-9</v>
      </c>
      <c r="R98">
        <f ca="1"/>
        <v>2.5268734029385914E-7</v>
      </c>
      <c r="S98">
        <f ca="1"/>
        <v>7.3153223048623266E-6</v>
      </c>
      <c r="T98">
        <f ca="1"/>
        <v>1.7396577162039686E-4</v>
      </c>
      <c r="U98">
        <f ca="1"/>
        <v>3.4719914422933129E-3</v>
      </c>
      <c r="V98">
        <f ca="1"/>
        <v>5.919989918771236E-2</v>
      </c>
      <c r="W98">
        <f ca="1"/>
        <v>0.87546333860846481</v>
      </c>
      <c r="X98">
        <f ca="1"/>
        <v>5.7044401272633299E-2</v>
      </c>
      <c r="Y98">
        <f ca="1"/>
        <v>4.2239044397672579E-3</v>
      </c>
      <c r="Z98">
        <f ca="1"/>
        <v>3.5153153344616098E-4</v>
      </c>
      <c r="AA98">
        <f ca="1"/>
        <v>3.2568339428311213E-5</v>
      </c>
      <c r="AB98">
        <f ca="1"/>
        <v>3.3307543268479825E-6</v>
      </c>
      <c r="AC98">
        <f ca="1"/>
        <v>3.7321567369494181E-7</v>
      </c>
      <c r="AD98" s="49">
        <f ca="1"/>
        <v>4.5515265047117593E-8</v>
      </c>
      <c r="AE98" s="49">
        <f ca="1"/>
        <v>6.0054660213041611E-9</v>
      </c>
      <c r="AF98" s="49">
        <f ca="1"/>
        <v>8.5271093917632787E-10</v>
      </c>
      <c r="AG98" s="49">
        <f ca="1"/>
        <v>1.2966454819614208E-10</v>
      </c>
      <c r="AH98" s="49">
        <f ca="1"/>
        <v>2.102329009902577E-11</v>
      </c>
      <c r="AI98" s="49">
        <f ca="1"/>
        <v>3.6200000018781135E-12</v>
      </c>
      <c r="AJ98" s="49">
        <f ca="1"/>
        <v>6.5957720996555739E-13</v>
      </c>
      <c r="AK98" s="49">
        <f ca="1"/>
        <v>1.2674403038831277E-13</v>
      </c>
      <c r="AL98" s="49">
        <f ca="1"/>
        <v>2.5607653651108613E-14</v>
      </c>
      <c r="AM98" s="49">
        <f ca="1"/>
        <v>5.4246932909488691E-15</v>
      </c>
      <c r="AN98" s="49">
        <f ca="1"/>
        <v>1.201772937176375E-15</v>
      </c>
      <c r="AO98" s="49">
        <f ca="1"/>
        <v>2.7776431363916387E-16</v>
      </c>
      <c r="AP98" s="49">
        <f ca="1"/>
        <v>6.6831314002663646E-17</v>
      </c>
      <c r="AQ98" s="49">
        <f ca="1"/>
        <v>1.6704984964734181E-17</v>
      </c>
      <c r="AR98" s="49">
        <f ca="1"/>
        <v>4.329636335467175E-18</v>
      </c>
      <c r="AS98" s="49">
        <f ca="1"/>
        <v>1.1615303131254004E-18</v>
      </c>
      <c r="AT98" s="49">
        <f ca="1"/>
        <v>3.2201099183661012E-19</v>
      </c>
      <c r="AU98" s="49">
        <f ca="1"/>
        <v>9.2110073593341408E-20</v>
      </c>
      <c r="AV98" s="49">
        <f ca="1"/>
        <v>2.7146823887588148E-20</v>
      </c>
      <c r="AW98" s="49">
        <f ca="1"/>
        <v>8.2323870239268221E-21</v>
      </c>
      <c r="AX98" s="49">
        <f ca="1"/>
        <v>2.5655688770083617E-21</v>
      </c>
      <c r="AY98" s="49">
        <f ca="1"/>
        <v>8.2069712046104414E-22</v>
      </c>
      <c r="AZ98" s="49">
        <f ca="1"/>
        <v>2.6918126485172125E-22</v>
      </c>
      <c r="BA98" s="49">
        <f ca="1"/>
        <v>9.043140147748184E-23</v>
      </c>
      <c r="BB98" s="49">
        <f ca="1"/>
        <v>3.1087102610586913E-23</v>
      </c>
      <c r="BC98" s="49">
        <f ca="1"/>
        <v>1.0924687114530608E-23</v>
      </c>
      <c r="BD98" s="49">
        <f ca="1"/>
        <v>3.9199982101923359E-24</v>
      </c>
      <c r="BE98" s="49">
        <f ca="1"/>
        <v>1.431742833784289E-24</v>
      </c>
      <c r="BF98" s="49">
        <f ca="1"/>
        <v>5.2377425107330024E-25</v>
      </c>
      <c r="BG98" s="49">
        <f ca="1"/>
        <v>1.7189775637588602E-25</v>
      </c>
    </row>
    <row r="99" spans="1:59" x14ac:dyDescent="0.25">
      <c r="H99" s="26">
        <f t="shared" si="96"/>
        <v>14</v>
      </c>
      <c r="K99">
        <f ca="1"/>
        <v>1.0376933142014136E-22</v>
      </c>
      <c r="L99">
        <f ca="1"/>
        <v>5.7600071831380907E-20</v>
      </c>
      <c r="M99">
        <f ca="1"/>
        <v>1.4248402763874107E-17</v>
      </c>
      <c r="N99">
        <f ca="1"/>
        <v>1.9914776918246954E-15</v>
      </c>
      <c r="O99">
        <f ca="1"/>
        <v>1.7925271305815758E-13</v>
      </c>
      <c r="P99">
        <f ca="1"/>
        <v>1.1293589131040695E-11</v>
      </c>
      <c r="Q99">
        <f ca="1"/>
        <v>5.2778287564940637E-10</v>
      </c>
      <c r="R99">
        <f ca="1"/>
        <v>1.9095362755868551E-8</v>
      </c>
      <c r="S99">
        <f ca="1"/>
        <v>5.5281255058125807E-7</v>
      </c>
      <c r="T99">
        <f ca="1"/>
        <v>1.3146442209304425E-5</v>
      </c>
      <c r="U99">
        <f ca="1"/>
        <v>2.6237537661665466E-4</v>
      </c>
      <c r="V99">
        <f ca="1"/>
        <v>4.4736849451404341E-3</v>
      </c>
      <c r="W99">
        <f ca="1"/>
        <v>6.6158003842817309E-2</v>
      </c>
      <c r="X99">
        <f ca="1"/>
        <v>0.85957288594270143</v>
      </c>
      <c r="Y99">
        <f ca="1"/>
        <v>6.3647854096748377E-2</v>
      </c>
      <c r="Z99">
        <f ca="1"/>
        <v>5.2970487543558915E-3</v>
      </c>
      <c r="AA99">
        <f ca="1"/>
        <v>4.9075563750697662E-4</v>
      </c>
      <c r="AB99">
        <f ca="1"/>
        <v>5.0189432183038431E-5</v>
      </c>
      <c r="AC99">
        <f ca="1"/>
        <v>5.6237959652477833E-6</v>
      </c>
      <c r="AD99" s="49">
        <f ca="1"/>
        <v>6.858462330775165E-7</v>
      </c>
      <c r="AE99" s="49">
        <f ca="1"/>
        <v>9.0493293718550324E-8</v>
      </c>
      <c r="AF99" s="49">
        <f ca="1"/>
        <v>1.2849064702417064E-8</v>
      </c>
      <c r="AG99" s="49">
        <f ca="1"/>
        <v>1.9538487110195113E-9</v>
      </c>
      <c r="AH99" s="49">
        <f ca="1"/>
        <v>3.1678919822583319E-10</v>
      </c>
      <c r="AI99" s="49">
        <f ca="1"/>
        <v>5.4547927216474291E-11</v>
      </c>
      <c r="AJ99" s="49">
        <f ca="1"/>
        <v>9.9388313878950688E-12</v>
      </c>
      <c r="AK99" s="49">
        <f ca="1"/>
        <v>1.9098409229716558E-12</v>
      </c>
      <c r="AL99" s="49">
        <f ca="1"/>
        <v>3.8586862619354964E-13</v>
      </c>
      <c r="AM99" s="49">
        <f ca="1"/>
        <v>8.1741926699683608E-14</v>
      </c>
      <c r="AN99" s="49">
        <f ca="1"/>
        <v>1.8108901291109077E-14</v>
      </c>
      <c r="AO99" s="49">
        <f ca="1"/>
        <v>4.1854882751000627E-15</v>
      </c>
      <c r="AP99" s="49">
        <f ca="1"/>
        <v>1.0070468646705214E-15</v>
      </c>
      <c r="AQ99" s="49">
        <f ca="1"/>
        <v>2.5171886838007209E-16</v>
      </c>
      <c r="AR99" s="49">
        <f ca="1"/>
        <v>6.5241073916667345E-17</v>
      </c>
      <c r="AS99" s="49">
        <f ca="1"/>
        <v>1.7502505786525205E-17</v>
      </c>
      <c r="AT99" s="49">
        <f ca="1"/>
        <v>4.8522188222362118E-18</v>
      </c>
      <c r="AU99" s="49">
        <f ca="1"/>
        <v>1.3879595546041248E-18</v>
      </c>
      <c r="AV99" s="49">
        <f ca="1"/>
        <v>4.0906159469898891E-19</v>
      </c>
      <c r="AW99" s="49">
        <f ca="1"/>
        <v>1.2404962650995261E-19</v>
      </c>
      <c r="AX99" s="49">
        <f ca="1"/>
        <v>3.8659244281573851E-20</v>
      </c>
      <c r="AY99" s="49">
        <f ca="1"/>
        <v>1.2366664853716317E-20</v>
      </c>
      <c r="AZ99" s="49">
        <f ca="1"/>
        <v>4.0561547059536636E-21</v>
      </c>
      <c r="BA99" s="49">
        <f ca="1"/>
        <v>1.3626645036790626E-21</v>
      </c>
      <c r="BB99" s="49">
        <f ca="1"/>
        <v>4.6843563803690272E-22</v>
      </c>
      <c r="BC99" s="49">
        <f ca="1"/>
        <v>1.6461851858480604E-22</v>
      </c>
      <c r="BD99" s="49">
        <f ca="1"/>
        <v>5.9068446670536961E-23</v>
      </c>
      <c r="BE99" s="49">
        <f ca="1"/>
        <v>2.1574199958413053E-23</v>
      </c>
      <c r="BF99" s="49">
        <f ca="1"/>
        <v>7.8924861078968869E-24</v>
      </c>
      <c r="BG99" s="49">
        <f ca="1"/>
        <v>2.5902393090061593E-24</v>
      </c>
    </row>
    <row r="100" spans="1:59" x14ac:dyDescent="0.25">
      <c r="H100" s="26">
        <f t="shared" si="96"/>
        <v>15</v>
      </c>
      <c r="K100">
        <f ca="1"/>
        <v>8.820567411910117E-24</v>
      </c>
      <c r="L100">
        <f ca="1"/>
        <v>4.8961028231212653E-21</v>
      </c>
      <c r="M100">
        <f ca="1"/>
        <v>1.2111381597126107E-18</v>
      </c>
      <c r="N100">
        <f ca="1"/>
        <v>1.6927894773585655E-16</v>
      </c>
      <c r="O100">
        <f ca="1"/>
        <v>1.5236781596825152E-14</v>
      </c>
      <c r="P100">
        <f ca="1"/>
        <v>9.5997403943401199E-13</v>
      </c>
      <c r="Q100">
        <f ca="1"/>
        <v>4.4862430641176639E-11</v>
      </c>
      <c r="R100">
        <f ca="1"/>
        <v>1.6231378976613904E-9</v>
      </c>
      <c r="S100">
        <f ca="1"/>
        <v>4.6989995038221046E-8</v>
      </c>
      <c r="T100">
        <f ca="1"/>
        <v>1.1174696622497743E-6</v>
      </c>
      <c r="U100">
        <f ca="1"/>
        <v>2.2302347572254938E-5</v>
      </c>
      <c r="V100">
        <f ca="1"/>
        <v>3.8027073219245439E-4</v>
      </c>
      <c r="W100">
        <f ca="1"/>
        <v>5.6235414138913198E-3</v>
      </c>
      <c r="X100">
        <f ca="1"/>
        <v>7.3065138631471335E-2</v>
      </c>
      <c r="Y100">
        <f ca="1"/>
        <v>0.84343300672489163</v>
      </c>
      <c r="Z100">
        <f ca="1"/>
        <v>7.0194130203723185E-2</v>
      </c>
      <c r="AA100">
        <f ca="1"/>
        <v>6.5032750716232943E-3</v>
      </c>
      <c r="AB100">
        <f ca="1"/>
        <v>6.6508799538801363E-4</v>
      </c>
      <c r="AC100">
        <f ca="1"/>
        <v>7.4524038673262624E-5</v>
      </c>
      <c r="AD100" s="49">
        <f ca="1"/>
        <v>9.0885287292830037E-6</v>
      </c>
      <c r="AE100" s="49">
        <f ca="1"/>
        <v>1.1991768126770974E-6</v>
      </c>
      <c r="AF100" s="49">
        <f ca="1"/>
        <v>1.7027008104764923E-7</v>
      </c>
      <c r="AG100" s="49">
        <f ca="1"/>
        <v>2.5891532658992349E-8</v>
      </c>
      <c r="AH100" s="49">
        <f ca="1"/>
        <v>4.1979493220845661E-9</v>
      </c>
      <c r="AI100" s="49">
        <f ca="1"/>
        <v>7.228448298173163E-10</v>
      </c>
      <c r="AJ100" s="49">
        <f ca="1"/>
        <v>1.3170496570209303E-10</v>
      </c>
      <c r="AK100" s="49">
        <f ca="1"/>
        <v>2.5308361057698554E-11</v>
      </c>
      <c r="AL100" s="49">
        <f ca="1"/>
        <v>5.1133591259262204E-12</v>
      </c>
      <c r="AM100" s="49">
        <f ca="1"/>
        <v>1.0832075957659353E-12</v>
      </c>
      <c r="AN100" s="49">
        <f ca="1"/>
        <v>2.3997109221039233E-13</v>
      </c>
      <c r="AO100" s="49">
        <f ca="1"/>
        <v>5.5464225944104144E-14</v>
      </c>
      <c r="AP100" s="49">
        <f ca="1"/>
        <v>1.3344936401010977E-14</v>
      </c>
      <c r="AQ100" s="49">
        <f ca="1"/>
        <v>3.3356663004611467E-15</v>
      </c>
      <c r="AR100" s="49">
        <f ca="1"/>
        <v>8.6454564598285207E-16</v>
      </c>
      <c r="AS100" s="49">
        <f ca="1"/>
        <v>2.3193540913900089E-16</v>
      </c>
      <c r="AT100" s="49">
        <f ca="1"/>
        <v>6.4299442119524318E-17</v>
      </c>
      <c r="AU100" s="49">
        <f ca="1"/>
        <v>1.839262166754031E-17</v>
      </c>
      <c r="AV100" s="49">
        <f ca="1"/>
        <v>5.4207020118573534E-18</v>
      </c>
      <c r="AW100" s="49">
        <f ca="1"/>
        <v>1.6438503851418041E-18</v>
      </c>
      <c r="AX100" s="49">
        <f ca="1"/>
        <v>5.1229508213358136E-19</v>
      </c>
      <c r="AY100" s="49">
        <f ca="1"/>
        <v>1.6387753316669736E-19</v>
      </c>
      <c r="AZ100" s="49">
        <f ca="1"/>
        <v>5.3750355105194249E-20</v>
      </c>
      <c r="BA100" s="49">
        <f ca="1"/>
        <v>1.8057422921883395E-20</v>
      </c>
      <c r="BB100" s="49">
        <f ca="1"/>
        <v>6.2075003824322549E-21</v>
      </c>
      <c r="BC100" s="49">
        <f ca="1"/>
        <v>2.1814512690644458E-21</v>
      </c>
      <c r="BD100" s="49">
        <f ca="1"/>
        <v>7.827487396852411E-22</v>
      </c>
      <c r="BE100" s="49">
        <f ca="1"/>
        <v>2.8589168632376515E-22</v>
      </c>
      <c r="BF100" s="49">
        <f ca="1"/>
        <v>1.0458770971915594E-22</v>
      </c>
      <c r="BG100" s="49">
        <f ca="1"/>
        <v>3.432469734503872E-23</v>
      </c>
    </row>
    <row r="101" spans="1:59" x14ac:dyDescent="0.25">
      <c r="H101" s="26">
        <f t="shared" si="96"/>
        <v>16</v>
      </c>
      <c r="K101">
        <f ca="1"/>
        <v>8.352263266177719E-25</v>
      </c>
      <c r="L101">
        <f ca="1"/>
        <v>4.6361574995467511E-22</v>
      </c>
      <c r="M101">
        <f ca="1"/>
        <v>1.1468360581854147E-19</v>
      </c>
      <c r="N101">
        <f ca="1"/>
        <v>1.6029154031545881E-17</v>
      </c>
      <c r="O101">
        <f ca="1"/>
        <v>1.4427825930347555E-15</v>
      </c>
      <c r="P101">
        <f ca="1"/>
        <v>9.0900681686560937E-14</v>
      </c>
      <c r="Q101">
        <f ca="1"/>
        <v>4.2480581347838997E-12</v>
      </c>
      <c r="R101">
        <f ca="1"/>
        <v>1.536961785505178E-10</v>
      </c>
      <c r="S101">
        <f ca="1"/>
        <v>4.4495188473438128E-9</v>
      </c>
      <c r="T101">
        <f ca="1"/>
        <v>1.0581406359951667E-7</v>
      </c>
      <c r="U101">
        <f ca="1"/>
        <v>2.1118264809784431E-6</v>
      </c>
      <c r="V101">
        <f ca="1"/>
        <v>3.600812872202452E-5</v>
      </c>
      <c r="W101">
        <f ca="1"/>
        <v>5.3249747078235033E-4</v>
      </c>
      <c r="X101">
        <f ca="1"/>
        <v>6.9185942914036123E-3</v>
      </c>
      <c r="Y101">
        <f ca="1"/>
        <v>7.9865321476236151E-2</v>
      </c>
      <c r="Z101">
        <f ca="1"/>
        <v>0.82714667096195049</v>
      </c>
      <c r="AA101">
        <f ca="1"/>
        <v>7.6632651622453335E-2</v>
      </c>
      <c r="AB101">
        <f ca="1"/>
        <v>7.8371983481429781E-3</v>
      </c>
      <c r="AC101">
        <f ca="1"/>
        <v>8.7816901949387281E-4</v>
      </c>
      <c r="AD101" s="49">
        <f ca="1"/>
        <v>1.0709650878998629E-4</v>
      </c>
      <c r="AE101" s="49">
        <f ca="1"/>
        <v>1.4130741496787038E-5</v>
      </c>
      <c r="AF101" s="49">
        <f ca="1"/>
        <v>2.0064117938954717E-6</v>
      </c>
      <c r="AG101" s="49">
        <f ca="1"/>
        <v>3.0509808986638315E-7</v>
      </c>
      <c r="AH101" s="49">
        <f ca="1"/>
        <v>4.9467381340171503E-8</v>
      </c>
      <c r="AI101" s="49">
        <f ca="1"/>
        <v>8.5177876393678488E-9</v>
      </c>
      <c r="AJ101" s="49">
        <f ca="1"/>
        <v>1.5519719898725355E-9</v>
      </c>
      <c r="AK101" s="49">
        <f ca="1"/>
        <v>2.9822616984672138E-10</v>
      </c>
      <c r="AL101" s="49">
        <f ca="1"/>
        <v>6.0254297135210378E-11</v>
      </c>
      <c r="AM101" s="49">
        <f ca="1"/>
        <v>1.2764194872108665E-11</v>
      </c>
      <c r="AN101" s="49">
        <f ca="1"/>
        <v>2.8277476973195837E-12</v>
      </c>
      <c r="AO101" s="49">
        <f ca="1"/>
        <v>6.5357387738830916E-13</v>
      </c>
      <c r="AP101" s="49">
        <f ca="1"/>
        <v>1.572527458671993E-13</v>
      </c>
      <c r="AQ101" s="49">
        <f ca="1"/>
        <v>3.930649568359574E-14</v>
      </c>
      <c r="AR101" s="49">
        <f ca="1"/>
        <v>1.0187547746427306E-14</v>
      </c>
      <c r="AS101" s="49">
        <f ca="1"/>
        <v>2.7330576073916057E-15</v>
      </c>
      <c r="AT101" s="49">
        <f ca="1"/>
        <v>7.5768542668050824E-16</v>
      </c>
      <c r="AU101" s="49">
        <f ca="1"/>
        <v>2.1673316185292183E-16</v>
      </c>
      <c r="AV101" s="49">
        <f ca="1"/>
        <v>6.3875933933101649E-17</v>
      </c>
      <c r="AW101" s="49">
        <f ca="1"/>
        <v>1.9370642099037547E-17</v>
      </c>
      <c r="AX101" s="49">
        <f ca="1"/>
        <v>6.0367322809919927E-18</v>
      </c>
      <c r="AY101" s="49">
        <f ca="1"/>
        <v>1.9310839184257113E-18</v>
      </c>
      <c r="AZ101" s="49">
        <f ca="1"/>
        <v>6.333781351695689E-19</v>
      </c>
      <c r="BA101" s="49">
        <f ca="1"/>
        <v>2.1278327992154014E-19</v>
      </c>
      <c r="BB101" s="49">
        <f ca="1"/>
        <v>7.3147331000784066E-20</v>
      </c>
      <c r="BC101" s="49">
        <f ca="1"/>
        <v>2.5705570392218805E-20</v>
      </c>
      <c r="BD101" s="49">
        <f ca="1"/>
        <v>9.2236774264633323E-21</v>
      </c>
      <c r="BE101" s="49">
        <f ca="1"/>
        <v>3.3688622668602797E-21</v>
      </c>
      <c r="BF101" s="49">
        <f ca="1"/>
        <v>1.2324303423471454E-21</v>
      </c>
      <c r="BG101" s="49">
        <f ca="1"/>
        <v>4.0447198445689058E-22</v>
      </c>
    </row>
    <row r="102" spans="1:59" x14ac:dyDescent="0.25">
      <c r="H102" s="26">
        <f t="shared" si="96"/>
        <v>17</v>
      </c>
      <c r="K102">
        <f ca="1"/>
        <v>8.7356128690529309E-26</v>
      </c>
      <c r="L102">
        <f ca="1"/>
        <v>4.8489464262937308E-23</v>
      </c>
      <c r="M102">
        <f ca="1"/>
        <v>1.1994731858066977E-20</v>
      </c>
      <c r="N102">
        <f ca="1"/>
        <v>1.6764855198593834E-18</v>
      </c>
      <c r="O102">
        <f ca="1"/>
        <v>1.5090029834186249E-16</v>
      </c>
      <c r="P102">
        <f ca="1"/>
        <v>9.5072813133463487E-15</v>
      </c>
      <c r="Q102">
        <f ca="1"/>
        <v>4.4430341966083338E-13</v>
      </c>
      <c r="R102">
        <f ca="1"/>
        <v>1.607504783412549E-11</v>
      </c>
      <c r="S102">
        <f ca="1"/>
        <v>4.6537414908064887E-10</v>
      </c>
      <c r="T102">
        <f ca="1"/>
        <v>1.106706848489628E-8</v>
      </c>
      <c r="U102">
        <f ca="1"/>
        <v>2.2087544413437211E-7</v>
      </c>
      <c r="V102">
        <f ca="1"/>
        <v>3.7660818706278881E-6</v>
      </c>
      <c r="W102">
        <f ca="1"/>
        <v>5.5693787543088418E-5</v>
      </c>
      <c r="X102">
        <f ca="1"/>
        <v>7.2361417979345023E-4</v>
      </c>
      <c r="Y102">
        <f ca="1"/>
        <v>8.3530955364405877E-3</v>
      </c>
      <c r="Z102">
        <f ca="1"/>
        <v>8.6511079370660215E-2</v>
      </c>
      <c r="AA102">
        <f ca="1"/>
        <v>0.81080549455328177</v>
      </c>
      <c r="AB102">
        <f ca="1"/>
        <v>8.2920835284216912E-2</v>
      </c>
      <c r="AC102">
        <f ca="1"/>
        <v>9.2913953918759788E-3</v>
      </c>
      <c r="AD102" s="49">
        <f ca="1"/>
        <v>1.1331258404342136E-3</v>
      </c>
      <c r="AE102" s="49">
        <f ca="1"/>
        <v>1.4950915314993507E-4</v>
      </c>
      <c r="AF102" s="49">
        <f ca="1"/>
        <v>2.1228675667413557E-5</v>
      </c>
      <c r="AG102" s="49">
        <f ca="1"/>
        <v>3.2280653533968744E-6</v>
      </c>
      <c r="AH102" s="49">
        <f ca="1"/>
        <v>5.2338557706936747E-7</v>
      </c>
      <c r="AI102" s="49">
        <f ca="1"/>
        <v>9.0121754542210644E-8</v>
      </c>
      <c r="AJ102" s="49">
        <f ca="1"/>
        <v>1.6420512537931635E-8</v>
      </c>
      <c r="AK102" s="49">
        <f ca="1"/>
        <v>3.1553575664143361E-9</v>
      </c>
      <c r="AL102" s="49">
        <f ca="1"/>
        <v>6.375156562292344E-10</v>
      </c>
      <c r="AM102" s="49">
        <f ca="1"/>
        <v>1.3505051850277089E-10</v>
      </c>
      <c r="AN102" s="49">
        <f ca="1"/>
        <v>2.9918752929140887E-11</v>
      </c>
      <c r="AO102" s="49">
        <f ca="1"/>
        <v>6.9150848843610576E-12</v>
      </c>
      <c r="AP102" s="49">
        <f ca="1"/>
        <v>1.6637997992145455E-12</v>
      </c>
      <c r="AQ102" s="49">
        <f ca="1"/>
        <v>4.158791585198966E-13</v>
      </c>
      <c r="AR102" s="49">
        <f ca="1"/>
        <v>1.0778851460761605E-13</v>
      </c>
      <c r="AS102" s="49">
        <f ca="1"/>
        <v>2.8916892187435146E-14</v>
      </c>
      <c r="AT102" s="49">
        <f ca="1"/>
        <v>8.0166286052863633E-15</v>
      </c>
      <c r="AU102" s="49">
        <f ca="1"/>
        <v>2.2931274693197017E-15</v>
      </c>
      <c r="AV102" s="49">
        <f ca="1"/>
        <v>6.7583408777031673E-16</v>
      </c>
      <c r="AW102" s="49">
        <f ca="1"/>
        <v>2.0494949234306492E-16</v>
      </c>
      <c r="AX102" s="49">
        <f ca="1"/>
        <v>6.3871151512410321E-17</v>
      </c>
      <c r="AY102" s="49">
        <f ca="1"/>
        <v>2.0431675250087378E-17</v>
      </c>
      <c r="AZ102" s="49">
        <f ca="1"/>
        <v>6.7014054877742068E-18</v>
      </c>
      <c r="BA102" s="49">
        <f ca="1"/>
        <v>2.2513360670258178E-18</v>
      </c>
      <c r="BB102" s="49">
        <f ca="1"/>
        <v>7.7392934515091254E-19</v>
      </c>
      <c r="BC102" s="49">
        <f ca="1"/>
        <v>2.7197568234126462E-19</v>
      </c>
      <c r="BD102" s="49">
        <f ca="1"/>
        <v>9.7590363624743933E-20</v>
      </c>
      <c r="BE102" s="49">
        <f ca="1"/>
        <v>3.5643971316832436E-20</v>
      </c>
      <c r="BF102" s="49">
        <f ca="1"/>
        <v>1.3039628305598973E-20</v>
      </c>
      <c r="BG102" s="49">
        <f ca="1"/>
        <v>4.2794827067477826E-21</v>
      </c>
    </row>
    <row r="103" spans="1:59" x14ac:dyDescent="0.25">
      <c r="H103" s="26">
        <f t="shared" si="96"/>
        <v>18</v>
      </c>
      <c r="K103">
        <f ca="1"/>
        <v>1.0015843546567917E-26</v>
      </c>
      <c r="L103">
        <f ca="1"/>
        <v>5.5595742965556712E-24</v>
      </c>
      <c r="M103">
        <f ca="1"/>
        <v>1.3752596351772328E-21</v>
      </c>
      <c r="N103">
        <f ca="1"/>
        <v>1.9221795799220898E-19</v>
      </c>
      <c r="O103">
        <f ca="1"/>
        <v>1.7301519675589448E-17</v>
      </c>
      <c r="P103">
        <f ca="1"/>
        <v>1.0900602352128889E-15</v>
      </c>
      <c r="Q103">
        <f ca="1"/>
        <v>5.0941743930674762E-14</v>
      </c>
      <c r="R103">
        <f ca="1"/>
        <v>1.8430895064109188E-12</v>
      </c>
      <c r="S103">
        <f ca="1"/>
        <v>5.3357614831142184E-11</v>
      </c>
      <c r="T103">
        <f ca="1"/>
        <v>1.2688981085295153E-9</v>
      </c>
      <c r="U103">
        <f ca="1"/>
        <v>2.5324541333164802E-8</v>
      </c>
      <c r="V103">
        <f ca="1"/>
        <v>4.3180126414947481E-7</v>
      </c>
      <c r="W103">
        <f ca="1"/>
        <v>6.3855881769156576E-6</v>
      </c>
      <c r="X103">
        <f ca="1"/>
        <v>8.2966204220941066E-5</v>
      </c>
      <c r="Y103">
        <f ca="1"/>
        <v>9.577267133587397E-4</v>
      </c>
      <c r="Z103">
        <f ca="1"/>
        <v>9.9189541593684566E-3</v>
      </c>
      <c r="AA103">
        <f ca="1"/>
        <v>9.2963150976077089E-2</v>
      </c>
      <c r="AB103">
        <f ca="1"/>
        <v>0.79448987152199724</v>
      </c>
      <c r="AC103">
        <f ca="1"/>
        <v>8.9023699602754636E-2</v>
      </c>
      <c r="AD103" s="49">
        <f ca="1"/>
        <v>1.0856825070552415E-2</v>
      </c>
      <c r="AE103" s="49">
        <f ca="1"/>
        <v>1.4324929008531549E-3</v>
      </c>
      <c r="AF103" s="49">
        <f ca="1"/>
        <v>2.033984311153677E-4</v>
      </c>
      <c r="AG103" s="49">
        <f ca="1"/>
        <v>3.0929080961308765E-5</v>
      </c>
      <c r="AH103" s="49">
        <f ca="1"/>
        <v>5.0147172113865074E-6</v>
      </c>
      <c r="AI103" s="49">
        <f ca="1"/>
        <v>8.6348408023340726E-7</v>
      </c>
      <c r="AJ103" s="49">
        <f ca="1"/>
        <v>1.5732995032998421E-7</v>
      </c>
      <c r="AK103" s="49">
        <f ca="1"/>
        <v>3.0232445427665018E-8</v>
      </c>
      <c r="AL103" s="49">
        <f ca="1"/>
        <v>6.1082323890583498E-9</v>
      </c>
      <c r="AM103" s="49">
        <f ca="1"/>
        <v>1.2939603023351146E-9</v>
      </c>
      <c r="AN103" s="49">
        <f ca="1"/>
        <v>2.8666071789192299E-10</v>
      </c>
      <c r="AO103" s="49">
        <f ca="1"/>
        <v>6.6255542198878916E-11</v>
      </c>
      <c r="AP103" s="49">
        <f ca="1"/>
        <v>1.5941374495149268E-11</v>
      </c>
      <c r="AQ103" s="49">
        <f ca="1"/>
        <v>3.9846653508571122E-12</v>
      </c>
      <c r="AR103" s="49">
        <f ca="1"/>
        <v>1.0327547090984484E-12</v>
      </c>
      <c r="AS103" s="49">
        <f ca="1"/>
        <v>2.7706158385965612E-13</v>
      </c>
      <c r="AT103" s="49">
        <f ca="1"/>
        <v>7.6809769327852221E-14</v>
      </c>
      <c r="AU103" s="49">
        <f ca="1"/>
        <v>2.1971155286108715E-14</v>
      </c>
      <c r="AV103" s="49">
        <f ca="1"/>
        <v>6.4753729954891872E-15</v>
      </c>
      <c r="AW103" s="49">
        <f ca="1"/>
        <v>1.9636837386168153E-15</v>
      </c>
      <c r="AX103" s="49">
        <f ca="1"/>
        <v>6.1196902787007569E-16</v>
      </c>
      <c r="AY103" s="49">
        <f ca="1"/>
        <v>1.9576212647620087E-16</v>
      </c>
      <c r="AZ103" s="49">
        <f ca="1"/>
        <v>6.4208214578995449E-17</v>
      </c>
      <c r="BA103" s="49">
        <f ca="1"/>
        <v>2.1570739085217987E-17</v>
      </c>
      <c r="BB103" s="49">
        <f ca="1"/>
        <v>7.4152536438943425E-18</v>
      </c>
      <c r="BC103" s="49">
        <f ca="1"/>
        <v>2.6058821547055463E-18</v>
      </c>
      <c r="BD103" s="49">
        <f ca="1"/>
        <v>9.350431069857501E-19</v>
      </c>
      <c r="BE103" s="49">
        <f ca="1"/>
        <v>3.4151578544740169E-19</v>
      </c>
      <c r="BF103" s="49">
        <f ca="1"/>
        <v>1.2493666497329428E-19</v>
      </c>
      <c r="BG103" s="49">
        <f ca="1"/>
        <v>4.1003032039063521E-20</v>
      </c>
    </row>
    <row r="104" spans="1:59" x14ac:dyDescent="0.25">
      <c r="H104" s="26">
        <f t="shared" si="96"/>
        <v>19</v>
      </c>
      <c r="K104">
        <f ca="1"/>
        <v>1.2504519184385042E-27</v>
      </c>
      <c r="L104">
        <f ca="1"/>
        <v>6.9409833655115766E-25</v>
      </c>
      <c r="M104">
        <f ca="1"/>
        <v>1.7169757506322956E-22</v>
      </c>
      <c r="N104">
        <f ca="1"/>
        <v>2.3997910232139397E-20</v>
      </c>
      <c r="O104">
        <f ca="1"/>
        <v>2.1600495624410814E-18</v>
      </c>
      <c r="P104">
        <f ca="1"/>
        <v>1.3609117454740599E-16</v>
      </c>
      <c r="Q104">
        <f ca="1"/>
        <v>6.3599437361961536E-15</v>
      </c>
      <c r="R104">
        <f ca="1"/>
        <v>2.3010491312388251E-13</v>
      </c>
      <c r="S104">
        <f ca="1"/>
        <v>6.6615589110083065E-12</v>
      </c>
      <c r="T104">
        <f ca="1"/>
        <v>1.5841861613916961E-10</v>
      </c>
      <c r="U104">
        <f ca="1"/>
        <v>3.1617028706965333E-9</v>
      </c>
      <c r="V104">
        <f ca="1"/>
        <v>5.3909260526029609E-8</v>
      </c>
      <c r="W104">
        <f ca="1"/>
        <v>7.9722401304067446E-7</v>
      </c>
      <c r="X104">
        <f ca="1"/>
        <v>1.0358113997216582E-5</v>
      </c>
      <c r="Y104">
        <f ca="1"/>
        <v>1.1956967982687916E-4</v>
      </c>
      <c r="Z104">
        <f ca="1"/>
        <v>1.2383555313956567E-3</v>
      </c>
      <c r="AA104">
        <f ca="1"/>
        <v>1.1606206700578643E-2</v>
      </c>
      <c r="AB104">
        <f ca="1"/>
        <v>9.918998628578525E-2</v>
      </c>
      <c r="AC104">
        <f ca="1"/>
        <v>0.77826939050548249</v>
      </c>
      <c r="AD104" s="49">
        <f ca="1"/>
        <v>9.4913317107549397E-2</v>
      </c>
      <c r="AE104" s="49">
        <f ca="1"/>
        <v>1.2523242482903043E-2</v>
      </c>
      <c r="AF104" s="49">
        <f ca="1"/>
        <v>1.7781643957765869E-3</v>
      </c>
      <c r="AG104" s="49">
        <f ca="1"/>
        <v>2.7039043643505993E-4</v>
      </c>
      <c r="AH104" s="49">
        <f ca="1"/>
        <v>4.3840021534472007E-5</v>
      </c>
      <c r="AI104" s="49">
        <f ca="1"/>
        <v>7.5488126401528121E-6</v>
      </c>
      <c r="AJ104" s="49">
        <f ca="1"/>
        <v>1.3754212091606431E-6</v>
      </c>
      <c r="AK104" s="49">
        <f ca="1"/>
        <v>2.6430025916100063E-7</v>
      </c>
      <c r="AL104" s="49">
        <f ca="1"/>
        <v>5.3399828581727385E-8</v>
      </c>
      <c r="AM104" s="49">
        <f ca="1"/>
        <v>1.1312152834923057E-8</v>
      </c>
      <c r="AN104" s="49">
        <f ca="1"/>
        <v>2.5060659486309162E-9</v>
      </c>
      <c r="AO104" s="49">
        <f ca="1"/>
        <v>5.7922396704277409E-10</v>
      </c>
      <c r="AP104" s="49">
        <f ca="1"/>
        <v>1.393638308396652E-10</v>
      </c>
      <c r="AQ104" s="49">
        <f ca="1"/>
        <v>3.483502806351492E-11</v>
      </c>
      <c r="AR104" s="49">
        <f ca="1"/>
        <v>9.0286225081444023E-12</v>
      </c>
      <c r="AS104" s="49">
        <f ca="1"/>
        <v>2.4221477085891188E-12</v>
      </c>
      <c r="AT104" s="49">
        <f ca="1"/>
        <v>6.7149189065834489E-13</v>
      </c>
      <c r="AU104" s="49">
        <f ca="1"/>
        <v>1.9207781421714849E-13</v>
      </c>
      <c r="AV104" s="49">
        <f ca="1"/>
        <v>5.6609471601190251E-14</v>
      </c>
      <c r="AW104" s="49">
        <f ca="1"/>
        <v>1.7167057235526831E-14</v>
      </c>
      <c r="AX104" s="49">
        <f ca="1"/>
        <v>5.3499996568772024E-15</v>
      </c>
      <c r="AY104" s="49">
        <f ca="1"/>
        <v>1.7114057440494839E-15</v>
      </c>
      <c r="AZ104" s="49">
        <f ca="1"/>
        <v>5.6132567225159192E-16</v>
      </c>
      <c r="BA104" s="49">
        <f ca="1"/>
        <v>1.8857726690214894E-16</v>
      </c>
      <c r="BB104" s="49">
        <f ca="1"/>
        <v>6.4826163815131264E-17</v>
      </c>
      <c r="BC104" s="49">
        <f ca="1"/>
        <v>2.2781330424612513E-17</v>
      </c>
      <c r="BD104" s="49">
        <f ca="1"/>
        <v>8.1744011113601826E-18</v>
      </c>
      <c r="BE104" s="49">
        <f ca="1"/>
        <v>2.9856238661634561E-18</v>
      </c>
      <c r="BF104" s="49">
        <f ca="1"/>
        <v>1.0922302997340802E-18</v>
      </c>
      <c r="BG104" s="49">
        <f ca="1"/>
        <v>3.584596562074501E-19</v>
      </c>
    </row>
    <row r="105" spans="1:59" s="49" customFormat="1" x14ac:dyDescent="0.25">
      <c r="H105" s="26">
        <f t="shared" si="96"/>
        <v>20</v>
      </c>
      <c r="K105" s="49">
        <f ca="1"/>
        <v>1.6897287304525962E-28</v>
      </c>
      <c r="L105" s="49">
        <f ca="1"/>
        <v>9.3793122609178142E-26</v>
      </c>
      <c r="M105" s="49">
        <f ca="1"/>
        <v>2.3201397931051124E-23</v>
      </c>
      <c r="N105" s="49">
        <f ca="1"/>
        <v>3.2428242775383825E-21</v>
      </c>
      <c r="O105" s="49">
        <f ca="1"/>
        <v>2.9188629734888535E-19</v>
      </c>
      <c r="P105" s="49">
        <f ca="1"/>
        <v>1.838992481061958E-17</v>
      </c>
      <c r="Q105" s="49">
        <f ca="1"/>
        <v>8.594156637811719E-16</v>
      </c>
      <c r="R105" s="49">
        <f ca="1"/>
        <v>3.1093949074767598E-14</v>
      </c>
      <c r="S105" s="49">
        <f ca="1"/>
        <v>9.0017275479007657E-13</v>
      </c>
      <c r="T105" s="49">
        <f ca="1"/>
        <v>2.1407019588819212E-11</v>
      </c>
      <c r="U105" s="49">
        <f ca="1"/>
        <v>4.2723915242112653E-10</v>
      </c>
      <c r="V105" s="49">
        <f ca="1"/>
        <v>7.2847284253869587E-9</v>
      </c>
      <c r="W105" s="49">
        <f ca="1"/>
        <v>1.0772843798134342E-7</v>
      </c>
      <c r="X105" s="49">
        <f ca="1"/>
        <v>1.3996861899541152E-6</v>
      </c>
      <c r="Y105" s="49">
        <f ca="1"/>
        <v>1.6157384407614231E-5</v>
      </c>
      <c r="Z105" s="49">
        <f ca="1"/>
        <v>1.673382949843536E-4</v>
      </c>
      <c r="AA105" s="49">
        <f ca="1"/>
        <v>1.568340263576766E-3</v>
      </c>
      <c r="AB105" s="49">
        <f ca="1"/>
        <v>1.3403487741422736E-2</v>
      </c>
      <c r="AC105" s="49">
        <f ca="1"/>
        <v>0.10516711036847583</v>
      </c>
      <c r="AD105" s="49">
        <f ca="1"/>
        <v>0.76220345518720545</v>
      </c>
      <c r="AE105" s="33">
        <f ca="1"/>
        <v>0.10056817084793118</v>
      </c>
      <c r="AF105" s="33">
        <f ca="1"/>
        <v>1.4279587813963166E-2</v>
      </c>
      <c r="AG105" s="33">
        <f ca="1"/>
        <v>2.171376274488952E-3</v>
      </c>
      <c r="AH105" s="33">
        <f ca="1"/>
        <v>3.5205824543243396E-4</v>
      </c>
      <c r="AI105" s="33">
        <f ca="1"/>
        <v>6.0620903917682931E-5</v>
      </c>
      <c r="AJ105" s="33">
        <f ca="1"/>
        <v>1.104534990355553E-5</v>
      </c>
      <c r="AK105" s="49">
        <f ca="1"/>
        <v>2.1224689735700447E-6</v>
      </c>
      <c r="AL105" s="49">
        <f ca="1"/>
        <v>4.2882848362866569E-7</v>
      </c>
      <c r="AM105" s="49">
        <f ca="1"/>
        <v>9.0842489116822679E-8</v>
      </c>
      <c r="AN105" s="49">
        <f ca="1"/>
        <v>2.0125017049072813E-8</v>
      </c>
      <c r="AO105" s="49">
        <f ca="1"/>
        <v>4.6514706519737332E-9</v>
      </c>
      <c r="AP105" s="49">
        <f ca="1"/>
        <v>1.1191642714768107E-9</v>
      </c>
      <c r="AQ105" s="49">
        <f ca="1"/>
        <v>2.7974344971494464E-10</v>
      </c>
      <c r="AR105" s="49">
        <f ca="1"/>
        <v>7.2504549214003519E-11</v>
      </c>
      <c r="AS105" s="49">
        <f ca="1"/>
        <v>1.9451109799149085E-11</v>
      </c>
      <c r="AT105" s="49">
        <f ca="1"/>
        <v>5.3924302172478814E-12</v>
      </c>
      <c r="AU105" s="49">
        <f ca="1"/>
        <v>1.5424850602916279E-12</v>
      </c>
      <c r="AV105" s="49">
        <f ca="1"/>
        <v>4.5460359163147626E-13</v>
      </c>
      <c r="AW105" s="49">
        <f ca="1"/>
        <v>1.3786042611373768E-13</v>
      </c>
      <c r="AX105" s="49">
        <f ca="1"/>
        <v>4.2963288482494942E-14</v>
      </c>
      <c r="AY105" s="49">
        <f ca="1"/>
        <v>1.3743481010822155E-14</v>
      </c>
      <c r="AZ105" s="49">
        <f ca="1"/>
        <v>4.5077380067819119E-15</v>
      </c>
      <c r="BA105" s="49">
        <f ca="1"/>
        <v>1.5143738390231138E-15</v>
      </c>
      <c r="BB105" s="49">
        <f ca="1"/>
        <v>5.2058791697729763E-16</v>
      </c>
      <c r="BC105" s="49">
        <f ca="1"/>
        <v>1.8294596893842974E-16</v>
      </c>
      <c r="BD105" s="49">
        <f ca="1"/>
        <v>6.5644705727699036E-17</v>
      </c>
      <c r="BE105" s="49">
        <f ca="1"/>
        <v>2.3976117325038299E-17</v>
      </c>
      <c r="BF105" s="49">
        <f ca="1"/>
        <v>8.771179152596025E-18</v>
      </c>
      <c r="BG105" s="49">
        <f ca="1"/>
        <v>2.8786180573263775E-18</v>
      </c>
    </row>
    <row r="106" spans="1:59" s="49" customFormat="1" x14ac:dyDescent="0.25">
      <c r="H106" s="26">
        <f t="shared" si="96"/>
        <v>21</v>
      </c>
      <c r="K106" s="49">
        <f ca="1"/>
        <v>2.4580189378570531E-29</v>
      </c>
      <c r="L106" s="49">
        <f ca="1"/>
        <v>1.3643922095847687E-26</v>
      </c>
      <c r="M106" s="49">
        <f ca="1"/>
        <v>3.3750669247368296E-24</v>
      </c>
      <c r="N106" s="49">
        <f ca="1"/>
        <v>4.7172799649307827E-22</v>
      </c>
      <c r="O106" s="49">
        <f ca="1"/>
        <v>4.2460191014942494E-20</v>
      </c>
      <c r="P106" s="49">
        <f ca="1"/>
        <v>2.6751503146994832E-18</v>
      </c>
      <c r="Q106" s="49">
        <f ca="1"/>
        <v>1.2501769893557322E-16</v>
      </c>
      <c r="R106" s="49">
        <f ca="1"/>
        <v>4.523182585530743E-15</v>
      </c>
      <c r="S106" s="49">
        <f ca="1"/>
        <v>1.3094656193863156E-13</v>
      </c>
      <c r="T106" s="49">
        <f ca="1"/>
        <v>3.1140418342949334E-12</v>
      </c>
      <c r="U106" s="49">
        <f ca="1"/>
        <v>6.2149734967448745E-11</v>
      </c>
      <c r="V106" s="49">
        <f ca="1"/>
        <v>1.0596967491906577E-9</v>
      </c>
      <c r="W106" s="49">
        <f ca="1"/>
        <v>1.5671068138432756E-8</v>
      </c>
      <c r="X106" s="49">
        <f ca="1"/>
        <v>2.0360991086673829E-7</v>
      </c>
      <c r="Y106" s="49">
        <f ca="1"/>
        <v>2.350386552847112E-6</v>
      </c>
      <c r="Z106" s="49">
        <f ca="1"/>
        <v>2.4342410156574552E-5</v>
      </c>
      <c r="AA106" s="49">
        <f ca="1"/>
        <v>2.2814372504886295E-4</v>
      </c>
      <c r="AB106" s="49">
        <f ca="1"/>
        <v>1.9497820039390168E-3</v>
      </c>
      <c r="AC106" s="49">
        <f ca="1"/>
        <v>1.5298476274128101E-2</v>
      </c>
      <c r="AD106" s="49">
        <f ca="1"/>
        <v>0.11087640835984415</v>
      </c>
      <c r="AE106" s="49">
        <f ca="1"/>
        <v>0.74634203893537199</v>
      </c>
      <c r="AF106" s="49">
        <f ca="1"/>
        <v>0.10597246220521468</v>
      </c>
      <c r="AG106" s="49">
        <f ca="1"/>
        <v>1.6114336994837705E-2</v>
      </c>
      <c r="AH106" s="49">
        <f ca="1"/>
        <v>2.6127140078680035E-3</v>
      </c>
      <c r="AI106" s="49">
        <f ca="1"/>
        <v>4.498831852121678E-4</v>
      </c>
      <c r="AJ106" s="49">
        <f ca="1"/>
        <v>8.1970357999643686E-5</v>
      </c>
      <c r="AK106" s="49">
        <f ca="1"/>
        <v>1.5751383444237318E-5</v>
      </c>
      <c r="AL106" s="49">
        <f ca="1"/>
        <v>3.1824455205507601E-6</v>
      </c>
      <c r="AM106" s="49">
        <f ca="1"/>
        <v>6.7416527493508146E-7</v>
      </c>
      <c r="AN106" s="49">
        <f ca="1"/>
        <v>1.493528830381736E-7</v>
      </c>
      <c r="AO106" s="49">
        <f ca="1"/>
        <v>3.4519749749565372E-8</v>
      </c>
      <c r="AP106" s="49">
        <f ca="1"/>
        <v>8.3056034253685137E-9</v>
      </c>
      <c r="AQ106" s="49">
        <f ca="1"/>
        <v>2.0760474698776072E-9</v>
      </c>
      <c r="AR106" s="49">
        <f ca="1"/>
        <v>5.3807474707175287E-10</v>
      </c>
      <c r="AS106" s="49">
        <f ca="1"/>
        <v>1.4435164550227431E-10</v>
      </c>
      <c r="AT106" s="49">
        <f ca="1"/>
        <v>4.001859961481328E-11</v>
      </c>
      <c r="AU106" s="49">
        <f ca="1"/>
        <v>1.144717493834269E-11</v>
      </c>
      <c r="AV106" s="49">
        <f ca="1"/>
        <v>3.3737291692280867E-12</v>
      </c>
      <c r="AW106" s="49">
        <f ca="1"/>
        <v>1.0230973741165819E-12</v>
      </c>
      <c r="AX106" s="49">
        <f ca="1"/>
        <v>3.188415186936204E-13</v>
      </c>
      <c r="AY106" s="49">
        <f ca="1"/>
        <v>1.0199387692152283E-13</v>
      </c>
      <c r="AZ106" s="49">
        <f ca="1"/>
        <v>3.3453073140360192E-14</v>
      </c>
      <c r="BA106" s="49">
        <f ca="1"/>
        <v>1.1238554397453755E-14</v>
      </c>
      <c r="BB106" s="49">
        <f ca="1"/>
        <v>3.8634156724343679E-15</v>
      </c>
      <c r="BC106" s="49">
        <f ca="1"/>
        <v>1.3576886834202938E-15</v>
      </c>
      <c r="BD106" s="49">
        <f ca="1"/>
        <v>4.8716609942330718E-16</v>
      </c>
      <c r="BE106" s="49">
        <f ca="1"/>
        <v>1.7793288014734626E-16</v>
      </c>
      <c r="BF106" s="49">
        <f ca="1"/>
        <v>6.5093156984177277E-17</v>
      </c>
      <c r="BG106" s="49">
        <f ca="1"/>
        <v>2.1362958599195243E-17</v>
      </c>
    </row>
    <row r="107" spans="1:59" s="49" customFormat="1" x14ac:dyDescent="0.25">
      <c r="A107" s="26"/>
      <c r="H107" s="26">
        <f t="shared" si="96"/>
        <v>22</v>
      </c>
      <c r="K107" s="49">
        <f ca="1"/>
        <v>3.8304263573091759E-30</v>
      </c>
      <c r="L107" s="49">
        <f ca="1"/>
        <v>2.1261853604175667E-27</v>
      </c>
      <c r="M107" s="49">
        <f ca="1"/>
        <v>5.2594978448234413E-25</v>
      </c>
      <c r="N107" s="49">
        <f ca="1"/>
        <v>7.351120544347977E-23</v>
      </c>
      <c r="O107" s="49">
        <f ca="1"/>
        <v>6.6167364414942672E-21</v>
      </c>
      <c r="P107" s="49">
        <f ca="1"/>
        <v>4.1687906131928885E-19</v>
      </c>
      <c r="Q107" s="49">
        <f ca="1"/>
        <v>1.9481993476846508E-17</v>
      </c>
      <c r="R107" s="49">
        <f ca="1"/>
        <v>7.0486510611035835E-16</v>
      </c>
      <c r="S107" s="49">
        <f ca="1"/>
        <v>2.0405911220767107E-14</v>
      </c>
      <c r="T107" s="49">
        <f ca="1"/>
        <v>4.8527323106167248E-13</v>
      </c>
      <c r="U107" s="49">
        <f ca="1"/>
        <v>9.685034531371045E-12</v>
      </c>
      <c r="V107" s="49">
        <f ca="1"/>
        <v>1.6513665929659344E-10</v>
      </c>
      <c r="W107" s="49">
        <f ca="1"/>
        <v>2.442083399771257E-9</v>
      </c>
      <c r="X107" s="49">
        <f ca="1"/>
        <v>3.1729323040662524E-8</v>
      </c>
      <c r="Y107" s="49">
        <f ca="1"/>
        <v>3.6626986323138753E-7</v>
      </c>
      <c r="Z107" s="49">
        <f ca="1"/>
        <v>3.7933722978336246E-6</v>
      </c>
      <c r="AA107" s="49">
        <f ca="1"/>
        <v>3.5552522571031689E-5</v>
      </c>
      <c r="AB107" s="49">
        <f ca="1"/>
        <v>3.0384210080196895E-4</v>
      </c>
      <c r="AC107" s="49">
        <f ca="1"/>
        <v>2.3840209627586373E-3</v>
      </c>
      <c r="AD107" s="49">
        <f ca="1"/>
        <v>1.7278301254895427E-2</v>
      </c>
      <c r="AE107" s="49">
        <f ca="1"/>
        <v>0.11630537802114262</v>
      </c>
      <c r="AF107" s="49">
        <f ca="1"/>
        <v>0.73072651579401804</v>
      </c>
      <c r="AG107" s="49">
        <f ca="1"/>
        <v>0.11111540754583857</v>
      </c>
      <c r="AH107" s="49">
        <f ca="1"/>
        <v>1.8015806786092249E-2</v>
      </c>
      <c r="AI107" s="49">
        <f ca="1"/>
        <v>3.1021414960407103E-3</v>
      </c>
      <c r="AJ107" s="49">
        <f ca="1"/>
        <v>5.6522150050148127E-4</v>
      </c>
      <c r="AK107" s="49">
        <f ca="1"/>
        <v>1.0861268393343735E-4</v>
      </c>
      <c r="AL107" s="49">
        <f ca="1"/>
        <v>2.1944354963018914E-5</v>
      </c>
      <c r="AM107" s="49">
        <f ca="1"/>
        <v>4.6486646829876816E-6</v>
      </c>
      <c r="AN107" s="49">
        <f ca="1"/>
        <v>1.0298535069887784E-6</v>
      </c>
      <c r="AO107" s="49">
        <f ca="1"/>
        <v>2.3802878536250607E-7</v>
      </c>
      <c r="AP107" s="49">
        <f ca="1"/>
        <v>5.7270771352217839E-8</v>
      </c>
      <c r="AQ107" s="49">
        <f ca="1"/>
        <v>1.4315256083688515E-8</v>
      </c>
      <c r="AR107" s="49">
        <f ca="1"/>
        <v>3.7102609204558211E-9</v>
      </c>
      <c r="AS107" s="49">
        <f ca="1"/>
        <v>9.9536778491327363E-10</v>
      </c>
      <c r="AT107" s="49">
        <f ca="1"/>
        <v>2.759457622760545E-10</v>
      </c>
      <c r="AU107" s="49">
        <f ca="1"/>
        <v>7.8933282140613945E-11</v>
      </c>
      <c r="AV107" s="49">
        <f ca="1"/>
        <v>2.3263339454062212E-11</v>
      </c>
      <c r="AW107" s="49">
        <f ca="1"/>
        <v>7.0547042500389395E-12</v>
      </c>
      <c r="AX107" s="49">
        <f ca="1"/>
        <v>2.1985518425936676E-12</v>
      </c>
      <c r="AY107" s="49">
        <f ca="1"/>
        <v>7.0329242865813922E-13</v>
      </c>
      <c r="AZ107" s="49">
        <f ca="1"/>
        <v>2.3067358320994985E-13</v>
      </c>
      <c r="BA107" s="49">
        <f ca="1"/>
        <v>7.7494752188638045E-14</v>
      </c>
      <c r="BB107" s="49">
        <f ca="1"/>
        <v>2.6639942251365849E-14</v>
      </c>
      <c r="BC107" s="49">
        <f ca="1"/>
        <v>9.3618577932773548E-15</v>
      </c>
      <c r="BD107" s="49">
        <f ca="1"/>
        <v>3.3592235099265077E-15</v>
      </c>
      <c r="BE107" s="49">
        <f ca="1"/>
        <v>1.2269250978002372E-15</v>
      </c>
      <c r="BF107" s="49">
        <f ca="1"/>
        <v>4.4884581159368712E-16</v>
      </c>
      <c r="BG107" s="49">
        <f ca="1"/>
        <v>1.473069510644402E-16</v>
      </c>
    </row>
    <row r="108" spans="1:59" s="49" customFormat="1" x14ac:dyDescent="0.25">
      <c r="A108" s="26"/>
      <c r="H108" s="26">
        <f t="shared" si="96"/>
        <v>23</v>
      </c>
      <c r="K108" s="49">
        <f ca="1"/>
        <v>6.3661496612148883E-31</v>
      </c>
      <c r="L108" s="49">
        <f ca="1"/>
        <v>3.5337095532652237E-28</v>
      </c>
      <c r="M108" s="49">
        <f ca="1"/>
        <v>8.7412594055206884E-26</v>
      </c>
      <c r="N108" s="49">
        <f ca="1"/>
        <v>1.2217525987322699E-23</v>
      </c>
      <c r="O108" s="49">
        <f ca="1"/>
        <v>1.0996983240517872E-21</v>
      </c>
      <c r="P108" s="49">
        <f ca="1"/>
        <v>6.9285093810019388E-20</v>
      </c>
      <c r="Q108" s="49">
        <f ca="1"/>
        <v>3.237897680391464E-18</v>
      </c>
      <c r="R108" s="49">
        <f ca="1"/>
        <v>1.1714823202132794E-16</v>
      </c>
      <c r="S108" s="49">
        <f ca="1"/>
        <v>3.3914523524771695E-15</v>
      </c>
      <c r="T108" s="49">
        <f ca="1"/>
        <v>8.065217099461816E-14</v>
      </c>
      <c r="U108" s="49">
        <f ca="1"/>
        <v>1.6096479490616041E-12</v>
      </c>
      <c r="V108" s="49">
        <f ca="1"/>
        <v>2.7445631101329419E-11</v>
      </c>
      <c r="W108" s="49">
        <f ca="1"/>
        <v>4.0587305322934388E-10</v>
      </c>
      <c r="X108" s="49">
        <f ca="1"/>
        <v>5.2733977965781678E-9</v>
      </c>
      <c r="Y108" s="49">
        <f ca="1"/>
        <v>6.087387011825309E-8</v>
      </c>
      <c r="Z108" s="49">
        <f ca="1"/>
        <v>6.3045659976295555E-7</v>
      </c>
      <c r="AA108" s="49">
        <f ca="1"/>
        <v>5.9088116676364929E-6</v>
      </c>
      <c r="AB108" s="49">
        <f ca="1"/>
        <v>5.049840687818621E-5</v>
      </c>
      <c r="AC108" s="49">
        <f ca="1"/>
        <v>3.9622310491453373E-4</v>
      </c>
      <c r="AD108" s="49">
        <f ca="1"/>
        <v>2.8716451230116377E-3</v>
      </c>
      <c r="AE108" s="49">
        <f ca="1"/>
        <v>1.9329896304465178E-2</v>
      </c>
      <c r="AF108" s="49">
        <f ca="1"/>
        <v>0.12144638552014175</v>
      </c>
      <c r="AG108" s="49">
        <f ca="1"/>
        <v>0.71539052183567575</v>
      </c>
      <c r="AH108" s="49">
        <f ca="1"/>
        <v>0.11599055164943171</v>
      </c>
      <c r="AI108" s="49">
        <f ca="1"/>
        <v>1.9972411321491673E-2</v>
      </c>
      <c r="AJ108" s="49">
        <f ca="1"/>
        <v>3.6390462234473626E-3</v>
      </c>
      <c r="AK108" s="49">
        <f ca="1"/>
        <v>6.9927732213969686E-4</v>
      </c>
      <c r="AL108" s="49">
        <f ca="1"/>
        <v>1.412835887936168E-4</v>
      </c>
      <c r="AM108" s="49">
        <f ca="1"/>
        <v>2.9929338575568072E-5</v>
      </c>
      <c r="AN108" s="49">
        <f ca="1"/>
        <v>6.6304705535555152E-6</v>
      </c>
      <c r="AO108" s="49">
        <f ca="1"/>
        <v>1.532492574462709E-6</v>
      </c>
      <c r="AP108" s="49">
        <f ca="1"/>
        <v>3.6872444522775108E-7</v>
      </c>
      <c r="AQ108" s="49">
        <f ca="1"/>
        <v>9.2165422834781278E-8</v>
      </c>
      <c r="AR108" s="49">
        <f ca="1"/>
        <v>2.3887645778884708E-8</v>
      </c>
      <c r="AS108" s="49">
        <f ca="1"/>
        <v>6.4084423105209215E-9</v>
      </c>
      <c r="AT108" s="49">
        <f ca="1"/>
        <v>1.7766121479739218E-9</v>
      </c>
      <c r="AU108" s="49">
        <f ca="1"/>
        <v>5.0819344632724833E-10</v>
      </c>
      <c r="AV108" s="49">
        <f ca="1"/>
        <v>1.4977556145682617E-10</v>
      </c>
      <c r="AW108" s="49">
        <f ca="1"/>
        <v>4.5420060694550634E-11</v>
      </c>
      <c r="AX108" s="49">
        <f ca="1"/>
        <v>1.4154861010675157E-11</v>
      </c>
      <c r="AY108" s="49">
        <f ca="1"/>
        <v>4.5279835501955001E-12</v>
      </c>
      <c r="AZ108" s="49">
        <f ca="1"/>
        <v>1.4851378284167711E-12</v>
      </c>
      <c r="BA108" s="49">
        <f ca="1"/>
        <v>4.9893180821827819E-13</v>
      </c>
      <c r="BB108" s="49">
        <f ca="1"/>
        <v>1.7151502757180529E-13</v>
      </c>
      <c r="BC108" s="49">
        <f ca="1"/>
        <v>6.0274128314034173E-14</v>
      </c>
      <c r="BD108" s="49">
        <f ca="1"/>
        <v>2.1627573644434663E-14</v>
      </c>
      <c r="BE108" s="49">
        <f ca="1"/>
        <v>7.8992698254425962E-15</v>
      </c>
      <c r="BF108" s="49">
        <f ca="1"/>
        <v>2.8897886123245461E-15</v>
      </c>
      <c r="BG108" s="49">
        <f ca="1"/>
        <v>9.4840129662971243E-16</v>
      </c>
    </row>
    <row r="109" spans="1:59" s="49" customFormat="1" x14ac:dyDescent="0.25">
      <c r="A109" s="26"/>
      <c r="H109" s="26">
        <f t="shared" si="96"/>
        <v>24</v>
      </c>
      <c r="K109" s="49">
        <f ca="1"/>
        <v>1.1238881382576257E-31</v>
      </c>
      <c r="L109" s="49">
        <f ca="1"/>
        <v>6.2384556793541306E-29</v>
      </c>
      <c r="M109" s="49">
        <f ca="1"/>
        <v>1.5431930259432198E-26</v>
      </c>
      <c r="N109" s="49">
        <f ca="1"/>
        <v>2.1568975388156177E-24</v>
      </c>
      <c r="O109" s="49">
        <f ca="1"/>
        <v>1.9414213737283291E-22</v>
      </c>
      <c r="P109" s="49">
        <f ca="1"/>
        <v>1.2231678366839952E-20</v>
      </c>
      <c r="Q109" s="49">
        <f ca="1"/>
        <v>5.7162256458629815E-19</v>
      </c>
      <c r="R109" s="49">
        <f ca="1"/>
        <v>2.068149751312899E-17</v>
      </c>
      <c r="S109" s="49">
        <f ca="1"/>
        <v>5.9873130121914531E-16</v>
      </c>
      <c r="T109" s="49">
        <f ca="1"/>
        <v>1.4238436595013852E-14</v>
      </c>
      <c r="U109" s="49">
        <f ca="1"/>
        <v>2.8416929117180353E-13</v>
      </c>
      <c r="V109" s="49">
        <f ca="1"/>
        <v>4.8452865363350921E-12</v>
      </c>
      <c r="W109" s="49">
        <f ca="1"/>
        <v>7.1653343769460612E-11</v>
      </c>
      <c r="X109" s="49">
        <f ca="1"/>
        <v>9.3097233764326475E-10</v>
      </c>
      <c r="Y109" s="49">
        <f ca="1"/>
        <v>1.0746750264536492E-8</v>
      </c>
      <c r="Z109" s="49">
        <f ca="1"/>
        <v>1.1130160801538591E-7</v>
      </c>
      <c r="AA109" s="49">
        <f ca="1"/>
        <v>1.0431491086226843E-6</v>
      </c>
      <c r="AB109" s="49">
        <f ca="1"/>
        <v>8.9150528202426817E-6</v>
      </c>
      <c r="AC109" s="49">
        <f ca="1"/>
        <v>6.9949729650570314E-5</v>
      </c>
      <c r="AD109" s="49">
        <f ca="1"/>
        <v>5.0696387342270496E-4</v>
      </c>
      <c r="AE109" s="49">
        <f ca="1"/>
        <v>3.4125244184398419E-3</v>
      </c>
      <c r="AF109" s="49">
        <f ca="1"/>
        <v>2.1440298985101521E-2</v>
      </c>
      <c r="AG109" s="49">
        <f ca="1"/>
        <v>0.1262959503782092</v>
      </c>
      <c r="AH109" s="49">
        <f ca="1"/>
        <v>0.70036081187545418</v>
      </c>
      <c r="AI109" s="49">
        <f ca="1"/>
        <v>0.12059511752739346</v>
      </c>
      <c r="AJ109" s="49">
        <f ca="1"/>
        <v>2.1972870473182089E-2</v>
      </c>
      <c r="AK109" s="49">
        <f ca="1"/>
        <v>4.2222959206199362E-3</v>
      </c>
      <c r="AL109" s="49">
        <f ca="1"/>
        <v>8.5308232045691872E-4</v>
      </c>
      <c r="AM109" s="49">
        <f ca="1"/>
        <v>1.8071589078249634E-4</v>
      </c>
      <c r="AN109" s="49">
        <f ca="1"/>
        <v>4.0035344896363238E-5</v>
      </c>
      <c r="AO109" s="49">
        <f ca="1"/>
        <v>9.2533204505115946E-6</v>
      </c>
      <c r="AP109" s="49">
        <f ca="1"/>
        <v>2.2263895476463957E-6</v>
      </c>
      <c r="AQ109" s="49">
        <f ca="1"/>
        <v>5.5650265858295179E-7</v>
      </c>
      <c r="AR109" s="49">
        <f ca="1"/>
        <v>1.4423563603747141E-7</v>
      </c>
      <c r="AS109" s="49">
        <f ca="1"/>
        <v>3.8694719489037221E-8</v>
      </c>
      <c r="AT109" s="49">
        <f ca="1"/>
        <v>1.0727335189365027E-8</v>
      </c>
      <c r="AU109" s="49">
        <f ca="1"/>
        <v>3.068515233337805E-9</v>
      </c>
      <c r="AV109" s="49">
        <f ca="1"/>
        <v>9.0435757334824865E-10</v>
      </c>
      <c r="AW109" s="49">
        <f ca="1"/>
        <v>2.7425018789126296E-10</v>
      </c>
      <c r="AX109" s="49">
        <f ca="1"/>
        <v>8.5468254167659497E-11</v>
      </c>
      <c r="AY109" s="49">
        <f ca="1"/>
        <v>2.7340349625702974E-11</v>
      </c>
      <c r="AZ109" s="49">
        <f ca="1"/>
        <v>8.9673884679900544E-12</v>
      </c>
      <c r="BA109" s="49">
        <f ca="1"/>
        <v>3.0125926750513366E-12</v>
      </c>
      <c r="BB109" s="49">
        <f ca="1"/>
        <v>1.0356223179460928E-12</v>
      </c>
      <c r="BC109" s="49">
        <f ca="1"/>
        <v>3.6394031100643618E-13</v>
      </c>
      <c r="BD109" s="49">
        <f ca="1"/>
        <v>1.3058912834808169E-13</v>
      </c>
      <c r="BE109" s="49">
        <f ca="1"/>
        <v>4.7696462767856475E-14</v>
      </c>
      <c r="BF109" s="49">
        <f ca="1"/>
        <v>1.744878931857358E-14</v>
      </c>
      <c r="BG109" s="49">
        <f ca="1"/>
        <v>5.7265276580359565E-15</v>
      </c>
    </row>
    <row r="110" spans="1:59" s="49" customFormat="1" x14ac:dyDescent="0.25">
      <c r="A110" s="26"/>
      <c r="H110" s="26">
        <f t="shared" si="96"/>
        <v>25</v>
      </c>
      <c r="K110" s="49">
        <f ca="1"/>
        <v>2.0998511437178491E-32</v>
      </c>
      <c r="L110" s="49">
        <f ca="1"/>
        <v>1.1655811505968617E-29</v>
      </c>
      <c r="M110" s="49">
        <f ca="1"/>
        <v>2.8832723917951645E-27</v>
      </c>
      <c r="N110" s="49">
        <f ca="1"/>
        <v>4.0299061886940045E-25</v>
      </c>
      <c r="O110" s="49">
        <f ca="1"/>
        <v>3.6273146350506457E-23</v>
      </c>
      <c r="P110" s="49">
        <f ca="1"/>
        <v>2.2853434371161692E-21</v>
      </c>
      <c r="Q110" s="49">
        <f ca="1"/>
        <v>1.0680086880197341E-19</v>
      </c>
      <c r="R110" s="49">
        <f ca="1"/>
        <v>3.8640915166227033E-18</v>
      </c>
      <c r="S110" s="49">
        <f ca="1"/>
        <v>1.1186581340682351E-16</v>
      </c>
      <c r="T110" s="49">
        <f ca="1"/>
        <v>2.6602823137848922E-15</v>
      </c>
      <c r="U110" s="49">
        <f ca="1"/>
        <v>5.3093647914257033E-14</v>
      </c>
      <c r="V110" s="49">
        <f ca="1"/>
        <v>9.0528408732361716E-13</v>
      </c>
      <c r="W110" s="49">
        <f ca="1"/>
        <v>1.3387573971442721E-11</v>
      </c>
      <c r="X110" s="49">
        <f ca="1"/>
        <v>1.7394109444028781E-10</v>
      </c>
      <c r="Y110" s="49">
        <f ca="1"/>
        <v>2.0079023050481004E-9</v>
      </c>
      <c r="Z110" s="49">
        <f ca="1"/>
        <v>2.0795379978925407E-8</v>
      </c>
      <c r="AA110" s="49">
        <f ca="1"/>
        <v>1.9489998819682231E-7</v>
      </c>
      <c r="AB110" s="49">
        <f ca="1"/>
        <v>1.6656714510675287E-6</v>
      </c>
      <c r="AC110" s="49">
        <f ca="1"/>
        <v>1.3069273961483399E-5</v>
      </c>
      <c r="AD110" s="49">
        <f ca="1"/>
        <v>9.4720162371379554E-5</v>
      </c>
      <c r="AE110" s="49">
        <f ca="1"/>
        <v>6.3758954820318558E-4</v>
      </c>
      <c r="AF110" s="49">
        <f ca="1"/>
        <v>4.0058645351765364E-3</v>
      </c>
      <c r="AG110" s="49">
        <f ca="1"/>
        <v>2.3596894283425887E-2</v>
      </c>
      <c r="AH110" s="49">
        <f ca="1"/>
        <v>0.1308540771781613</v>
      </c>
      <c r="AI110" s="49">
        <f ca="1"/>
        <v>0.68565808618275859</v>
      </c>
      <c r="AJ110" s="49">
        <f ca="1"/>
        <v>0.12492940531494924</v>
      </c>
      <c r="AK110" s="49">
        <f ca="1"/>
        <v>2.400637272542909E-2</v>
      </c>
      <c r="AL110" s="49">
        <f ca="1"/>
        <v>4.8503024267791857E-3</v>
      </c>
      <c r="AM110" s="49">
        <f ca="1"/>
        <v>1.027481993942189E-3</v>
      </c>
      <c r="AN110" s="49">
        <f ca="1"/>
        <v>2.2762578223841964E-4</v>
      </c>
      <c r="AO110" s="49">
        <f ca="1"/>
        <v>5.2610869503007592E-5</v>
      </c>
      <c r="AP110" s="49">
        <f ca="1"/>
        <v>1.2658406307284934E-5</v>
      </c>
      <c r="AQ110" s="49">
        <f ca="1"/>
        <v>3.1640629874831307E-6</v>
      </c>
      <c r="AR110" s="49">
        <f ca="1"/>
        <v>8.200691055534735E-7</v>
      </c>
      <c r="AS110" s="49">
        <f ca="1"/>
        <v>2.2000349478663839E-7</v>
      </c>
      <c r="AT110" s="49">
        <f ca="1"/>
        <v>6.0991558087832333E-8</v>
      </c>
      <c r="AU110" s="49">
        <f ca="1"/>
        <v>1.7446413465579338E-8</v>
      </c>
      <c r="AV110" s="49">
        <f ca="1"/>
        <v>5.1418340616152328E-9</v>
      </c>
      <c r="AW110" s="49">
        <f ca="1"/>
        <v>1.5592825217162805E-9</v>
      </c>
      <c r="AX110" s="49">
        <f ca="1"/>
        <v>4.8594006775330196E-10</v>
      </c>
      <c r="AY110" s="49">
        <f ca="1"/>
        <v>1.5544685543068336E-10</v>
      </c>
      <c r="AZ110" s="49">
        <f ca="1"/>
        <v>5.0985168728930838E-11</v>
      </c>
      <c r="BA110" s="49">
        <f ca="1"/>
        <v>1.7128459015388321E-11</v>
      </c>
      <c r="BB110" s="49">
        <f ca="1"/>
        <v>5.8881555994153191E-12</v>
      </c>
      <c r="BC110" s="49">
        <f ca="1"/>
        <v>2.0692265345879172E-12</v>
      </c>
      <c r="BD110" s="49">
        <f ca="1"/>
        <v>7.4248024012316422E-13</v>
      </c>
      <c r="BE110" s="49">
        <f ca="1"/>
        <v>2.7118399193621581E-13</v>
      </c>
      <c r="BF110" s="49">
        <f ca="1"/>
        <v>9.9207196242100706E-14</v>
      </c>
      <c r="BG110" s="49">
        <f ca="1"/>
        <v>3.2558863700179805E-14</v>
      </c>
    </row>
    <row r="111" spans="1:59" s="49" customFormat="1" x14ac:dyDescent="0.25">
      <c r="A111" s="26"/>
      <c r="H111" s="26">
        <f t="shared" si="96"/>
        <v>26</v>
      </c>
      <c r="K111" s="49">
        <f ca="1"/>
        <v>4.1382074501946426E-33</v>
      </c>
      <c r="L111" s="49">
        <f ca="1"/>
        <v>2.2970278705881855E-30</v>
      </c>
      <c r="M111" s="49">
        <f ca="1"/>
        <v>5.6821071952472107E-28</v>
      </c>
      <c r="N111" s="49">
        <f ca="1"/>
        <v>7.9417952379770248E-26</v>
      </c>
      <c r="O111" s="37">
        <f ca="1"/>
        <v>7.1484021578738964E-24</v>
      </c>
      <c r="P111" s="49">
        <f ca="1"/>
        <v>4.5037598336533812E-22</v>
      </c>
      <c r="Q111" s="49">
        <f ca="1"/>
        <v>2.1047403873642019E-20</v>
      </c>
      <c r="R111" s="49">
        <f ca="1"/>
        <v>7.615021831504916E-19</v>
      </c>
      <c r="S111" s="49">
        <f ca="1"/>
        <v>2.2045559936338161E-17</v>
      </c>
      <c r="T111" s="49">
        <f ca="1"/>
        <v>5.2426573776245266E-16</v>
      </c>
      <c r="U111" s="49">
        <f ca="1"/>
        <v>1.0463243073877233E-14</v>
      </c>
      <c r="V111" s="49">
        <f ca="1"/>
        <v>1.7840566298772954E-13</v>
      </c>
      <c r="W111" s="49">
        <f ca="1"/>
        <v>2.6383088398622291E-12</v>
      </c>
      <c r="X111" s="49">
        <f ca="1"/>
        <v>3.4278826623556461E-11</v>
      </c>
      <c r="Y111" s="49">
        <f ca="1"/>
        <v>3.9570025250939959E-10</v>
      </c>
      <c r="Z111" s="49">
        <f ca="1"/>
        <v>4.0981760357571646E-9</v>
      </c>
      <c r="AA111" s="49">
        <f ca="1"/>
        <v>3.8409226559314148E-8</v>
      </c>
      <c r="AB111" s="49">
        <f ca="1"/>
        <v>3.2825631612058438E-7</v>
      </c>
      <c r="AC111" s="49">
        <f ca="1"/>
        <v>2.5755809900071886E-6</v>
      </c>
      <c r="AD111" s="49">
        <f ca="1"/>
        <v>1.8666641337008847E-5</v>
      </c>
      <c r="AE111" s="49">
        <f ca="1"/>
        <v>1.2565070750058762E-4</v>
      </c>
      <c r="AF111" s="49">
        <f ca="1"/>
        <v>7.8944159987396993E-4</v>
      </c>
      <c r="AG111" s="49">
        <f ca="1"/>
        <v>4.6502745690934159E-3</v>
      </c>
      <c r="AH111" s="37">
        <f ca="1"/>
        <v>2.5787604930331758E-2</v>
      </c>
      <c r="AI111" s="49">
        <f ca="1"/>
        <v>0.13512364478864911</v>
      </c>
      <c r="AJ111" s="49">
        <f ca="1"/>
        <v>0.67129776990911738</v>
      </c>
      <c r="AK111" s="49">
        <f ca="1"/>
        <v>0.12899624738915819</v>
      </c>
      <c r="AL111" s="49">
        <f ca="1"/>
        <v>2.6062696722786927E-2</v>
      </c>
      <c r="AM111" s="49">
        <f ca="1"/>
        <v>5.5210890455797967E-3</v>
      </c>
      <c r="AN111" s="49">
        <f ca="1"/>
        <v>1.2231282107302616E-3</v>
      </c>
      <c r="AO111" s="49">
        <f ca="1"/>
        <v>2.8270013197703454E-4</v>
      </c>
      <c r="AP111" s="49">
        <f ca="1"/>
        <v>6.8018893576427287E-5</v>
      </c>
      <c r="AQ111" s="49">
        <f ca="1"/>
        <v>1.7001829329089434E-5</v>
      </c>
      <c r="AR111" s="49">
        <f ca="1"/>
        <v>4.4065731389784857E-6</v>
      </c>
      <c r="AS111" s="49">
        <f ca="1"/>
        <v>1.1821704830032512E-6</v>
      </c>
      <c r="AT111" s="49">
        <f ca="1"/>
        <v>3.2773306512125752E-7</v>
      </c>
      <c r="AU111" s="49">
        <f ca="1"/>
        <v>9.3746851854695897E-8</v>
      </c>
      <c r="AV111" s="49">
        <f ca="1"/>
        <v>2.762921771782427E-8</v>
      </c>
      <c r="AW111" s="49">
        <f ca="1"/>
        <v>8.3786749552481002E-9</v>
      </c>
      <c r="AX111" s="49">
        <f ca="1"/>
        <v>2.6111585416571435E-9</v>
      </c>
      <c r="AY111" s="49">
        <f ca="1"/>
        <v>8.3528075017192046E-10</v>
      </c>
      <c r="AZ111" s="49">
        <f ca="1"/>
        <v>2.7396456406629333E-10</v>
      </c>
      <c r="BA111" s="37">
        <f ca="1"/>
        <v>9.2038350058759089E-11</v>
      </c>
      <c r="BB111" s="49">
        <f ca="1"/>
        <v>3.1639514434576432E-11</v>
      </c>
      <c r="BC111" s="49">
        <f ca="1"/>
        <v>1.1118816699749566E-11</v>
      </c>
      <c r="BD111" s="49">
        <f ca="1"/>
        <v>3.9896558231404929E-12</v>
      </c>
      <c r="BE111" s="49">
        <f ca="1"/>
        <v>1.4571846280937184E-12</v>
      </c>
      <c r="BF111" s="49">
        <f ca="1"/>
        <v>5.3308161860183936E-13</v>
      </c>
      <c r="BG111" s="49">
        <f ca="1"/>
        <v>1.7495234638798214E-13</v>
      </c>
    </row>
    <row r="112" spans="1:59" s="49" customFormat="1" x14ac:dyDescent="0.25">
      <c r="A112" s="26"/>
      <c r="H112" s="26">
        <f t="shared" si="96"/>
        <v>27</v>
      </c>
      <c r="K112" s="49">
        <f ca="1"/>
        <v>8.5754113695688381E-34</v>
      </c>
      <c r="L112" s="49">
        <f ca="1"/>
        <v>4.7600221000839192E-31</v>
      </c>
      <c r="M112" s="49">
        <f ca="1"/>
        <v>1.177476171305524E-28</v>
      </c>
      <c r="N112" s="49">
        <f ca="1"/>
        <v>1.645740625577689E-26</v>
      </c>
      <c r="O112" s="49">
        <f ca="1"/>
        <v>1.4813295340232142E-24</v>
      </c>
      <c r="P112" s="49">
        <f ca="1"/>
        <v>9.3329282661994333E-23</v>
      </c>
      <c r="Q112" s="49">
        <f ca="1"/>
        <v>4.3615538527303054E-21</v>
      </c>
      <c r="R112" s="49">
        <f ca="1"/>
        <v>1.578024919710844E-19</v>
      </c>
      <c r="S112" s="49">
        <f ca="1"/>
        <v>4.5683970076873134E-18</v>
      </c>
      <c r="T112" s="49">
        <f ca="1"/>
        <v>1.0864110662388541E-16</v>
      </c>
      <c r="U112" s="49">
        <f ca="1"/>
        <v>2.1682483224486215E-15</v>
      </c>
      <c r="V112" s="49">
        <f ca="1"/>
        <v>3.6970160853305763E-14</v>
      </c>
      <c r="W112" s="49">
        <f ca="1"/>
        <v>5.4672424942650892E-13</v>
      </c>
      <c r="X112" s="49">
        <f ca="1"/>
        <v>7.1034389430935545E-12</v>
      </c>
      <c r="Y112" s="49">
        <f ca="1"/>
        <v>8.1999089826943327E-11</v>
      </c>
      <c r="Z112" s="49">
        <f ca="1"/>
        <v>8.4924561647757768E-10</v>
      </c>
      <c r="AA112" s="49">
        <f ca="1"/>
        <v>7.9593621657994847E-9</v>
      </c>
      <c r="AB112" s="49">
        <f ca="1"/>
        <v>6.8023002212246267E-8</v>
      </c>
      <c r="AC112" s="49">
        <f ca="1"/>
        <v>5.3372545409520616E-7</v>
      </c>
      <c r="AD112" s="49">
        <f ca="1"/>
        <v>3.8681997043314053E-6</v>
      </c>
      <c r="AE112" s="49">
        <f ca="1"/>
        <v>2.6038001203739233E-5</v>
      </c>
      <c r="AF112" s="49">
        <f ca="1"/>
        <v>1.6359224501544592E-4</v>
      </c>
      <c r="AG112" s="49">
        <f ca="1"/>
        <v>9.636543815497898E-4</v>
      </c>
      <c r="AH112" s="49">
        <f ca="1"/>
        <v>5.3438432745346051E-3</v>
      </c>
      <c r="AI112" s="49">
        <f ca="1"/>
        <v>2.8001033146940489E-2</v>
      </c>
      <c r="AJ112" s="49">
        <f ca="1"/>
        <v>0.13910985850103005</v>
      </c>
      <c r="AK112" s="49">
        <f ca="1"/>
        <v>0.65729073447276254</v>
      </c>
      <c r="AL112" s="49">
        <f ca="1"/>
        <v>0.13280052263521333</v>
      </c>
      <c r="AM112" s="49">
        <f ca="1"/>
        <v>2.8132296460615283E-2</v>
      </c>
      <c r="AN112" s="49">
        <f ca="1"/>
        <v>6.2323583534943947E-3</v>
      </c>
      <c r="AO112" s="49">
        <f ca="1"/>
        <v>1.4404773870836597E-3</v>
      </c>
      <c r="AP112" s="49">
        <f ca="1"/>
        <v>3.4658518694732335E-4</v>
      </c>
      <c r="AQ112" s="49">
        <f ca="1"/>
        <v>8.6631550244902652E-5</v>
      </c>
      <c r="AR112" s="49">
        <f ca="1"/>
        <v>2.2453363982668468E-5</v>
      </c>
      <c r="AS112" s="49">
        <f ca="1"/>
        <v>6.02366131396885E-6</v>
      </c>
      <c r="AT112" s="49">
        <f ca="1"/>
        <v>1.669939331139537E-6</v>
      </c>
      <c r="AU112" s="49">
        <f ca="1"/>
        <v>4.7768007486442002E-7</v>
      </c>
      <c r="AV112" s="49">
        <f ca="1"/>
        <v>1.4078261324819685E-7</v>
      </c>
      <c r="AW112" s="49">
        <f ca="1"/>
        <v>4.2692911822692548E-8</v>
      </c>
      <c r="AX112" s="49">
        <f ca="1"/>
        <v>1.3304963131934498E-8</v>
      </c>
      <c r="AY112" s="49">
        <f ca="1"/>
        <v>4.2561106147154917E-9</v>
      </c>
      <c r="AZ112" s="49">
        <f ca="1"/>
        <v>1.3959659538885081E-9</v>
      </c>
      <c r="BA112" s="49">
        <f ca="1"/>
        <v>4.6897453169531132E-10</v>
      </c>
      <c r="BB112" s="49">
        <f ca="1"/>
        <v>1.6121678034807855E-10</v>
      </c>
      <c r="BC112" s="49">
        <f ca="1"/>
        <v>5.6655099221596848E-11</v>
      </c>
      <c r="BD112" s="49">
        <f ca="1"/>
        <v>2.032899296965093E-11</v>
      </c>
      <c r="BE112" s="49">
        <f ca="1"/>
        <v>7.4249753294965981E-12</v>
      </c>
      <c r="BF112" s="49">
        <f ca="1"/>
        <v>2.7162775330019518E-12</v>
      </c>
      <c r="BG112" s="49">
        <f ca="1"/>
        <v>8.9145660112245216E-13</v>
      </c>
    </row>
    <row r="113" spans="1:59" s="49" customFormat="1" x14ac:dyDescent="0.25">
      <c r="A113" s="26"/>
      <c r="H113" s="26">
        <f t="shared" si="96"/>
        <v>28</v>
      </c>
      <c r="K113" s="49">
        <f ca="1"/>
        <v>1.8633128155129931E-34</v>
      </c>
      <c r="L113" s="49">
        <f ca="1"/>
        <v>1.034283930994366E-31</v>
      </c>
      <c r="M113" s="49">
        <f ca="1"/>
        <v>2.5584853546974124E-29</v>
      </c>
      <c r="N113" s="49">
        <f ca="1"/>
        <v>3.5759562620299807E-27</v>
      </c>
      <c r="O113" s="49">
        <f ca="1"/>
        <v>3.2187147482373481E-25</v>
      </c>
      <c r="P113" s="49">
        <f ca="1"/>
        <v>2.0279102768625804E-23</v>
      </c>
      <c r="Q113" s="49">
        <f ca="1"/>
        <v>9.4770254616380708E-22</v>
      </c>
      <c r="R113" s="49">
        <f ca="1"/>
        <v>3.4288198307668066E-20</v>
      </c>
      <c r="S113" s="49">
        <f ca="1"/>
        <v>9.9264657098344803E-19</v>
      </c>
      <c r="T113" s="49">
        <f ca="1"/>
        <v>2.3606140573286256E-17</v>
      </c>
      <c r="U113" s="49">
        <f ca="1"/>
        <v>4.7112898872351105E-16</v>
      </c>
      <c r="V113" s="49">
        <f ca="1"/>
        <v>8.0330810430852766E-15</v>
      </c>
      <c r="W113" s="49">
        <f ca="1"/>
        <v>1.1879526900869319E-13</v>
      </c>
      <c r="X113" s="49">
        <f ca="1"/>
        <v>1.5434745047741982E-12</v>
      </c>
      <c r="Y113" s="49">
        <f ca="1"/>
        <v>1.7817215798782922E-11</v>
      </c>
      <c r="Z113" s="49">
        <f ca="1"/>
        <v>1.8452878497658179E-10</v>
      </c>
      <c r="AA113" s="49">
        <f ca="1"/>
        <v>1.7294542369678883E-9</v>
      </c>
      <c r="AB113" s="49">
        <f ca="1"/>
        <v>1.4780414175993042E-8</v>
      </c>
      <c r="AC113" s="49">
        <f ca="1"/>
        <v>1.159708188589315E-7</v>
      </c>
      <c r="AD113" s="49">
        <f ca="1"/>
        <v>8.4050382791218455E-7</v>
      </c>
      <c r="AE113" s="49">
        <f ca="1"/>
        <v>5.6576809254235726E-6</v>
      </c>
      <c r="AF113" s="49">
        <f ca="1"/>
        <v>3.5546227873981059E-5</v>
      </c>
      <c r="AG113" s="49">
        <f ca="1"/>
        <v>2.0938815428014283E-4</v>
      </c>
      <c r="AH113" s="49">
        <f ca="1"/>
        <v>1.1611398250663614E-3</v>
      </c>
      <c r="AI113" s="49">
        <f ca="1"/>
        <v>6.0842193641518104E-3</v>
      </c>
      <c r="AJ113" s="49">
        <f ca="1"/>
        <v>3.0226559512817979E-2</v>
      </c>
      <c r="AK113" s="49">
        <f ca="1"/>
        <v>0.14281976645542832</v>
      </c>
      <c r="AL113" s="49">
        <f ca="1"/>
        <v>0.64364395521705919</v>
      </c>
      <c r="AM113" s="49">
        <f ca="1"/>
        <v>0.13634872968826708</v>
      </c>
      <c r="AN113" s="49">
        <f ca="1"/>
        <v>3.0206355377019763E-2</v>
      </c>
      <c r="AO113" s="49">
        <f ca="1"/>
        <v>6.9815580874635621E-3</v>
      </c>
      <c r="AP113" s="49">
        <f ca="1"/>
        <v>1.6797935438792313E-3</v>
      </c>
      <c r="AQ113" s="49">
        <f ca="1"/>
        <v>4.1987691418489398E-4</v>
      </c>
      <c r="AR113" s="49">
        <f ca="1"/>
        <v>1.0882466209437127E-4</v>
      </c>
      <c r="AS113" s="49">
        <f ca="1"/>
        <v>2.919486396646793E-5</v>
      </c>
      <c r="AT113" s="49">
        <f ca="1"/>
        <v>8.093690707977501E-6</v>
      </c>
      <c r="AU113" s="49">
        <f ca="1"/>
        <v>2.3151708036470586E-6</v>
      </c>
      <c r="AV113" s="49">
        <f ca="1"/>
        <v>6.8233073348489852E-7</v>
      </c>
      <c r="AW113" s="49">
        <f ca="1"/>
        <v>2.0691962712204456E-7</v>
      </c>
      <c r="AX113" s="49">
        <f ca="1"/>
        <v>6.448513096427179E-8</v>
      </c>
      <c r="AY113" s="49">
        <f ca="1"/>
        <v>2.0628080488972447E-8</v>
      </c>
      <c r="AZ113" s="49">
        <f ca="1"/>
        <v>6.7658246374318636E-9</v>
      </c>
      <c r="BA113" s="49">
        <f ca="1"/>
        <v>2.2729776697158807E-9</v>
      </c>
      <c r="BB113" s="49">
        <f ca="1"/>
        <v>7.8136895918422029E-10</v>
      </c>
      <c r="BC113" s="49">
        <f ca="1"/>
        <v>2.7459012526908756E-10</v>
      </c>
      <c r="BD113" s="49">
        <f ca="1"/>
        <v>9.8528478509891043E-11</v>
      </c>
      <c r="BE113" s="49">
        <f ca="1"/>
        <v>3.5986609040641455E-11</v>
      </c>
      <c r="BF113" s="49">
        <f ca="1"/>
        <v>1.3164975409103019E-11</v>
      </c>
      <c r="BG113" s="49">
        <f ca="1"/>
        <v>4.3206204408315185E-12</v>
      </c>
    </row>
    <row r="114" spans="1:59" s="49" customFormat="1" x14ac:dyDescent="0.25">
      <c r="A114" s="26"/>
      <c r="H114" s="26">
        <f t="shared" si="96"/>
        <v>29</v>
      </c>
      <c r="K114" s="49">
        <f ca="1"/>
        <v>4.234197440418939E-35</v>
      </c>
      <c r="L114" s="49">
        <f ca="1"/>
        <v>2.350309801350822E-32</v>
      </c>
      <c r="M114" s="49">
        <f ca="1"/>
        <v>5.8139095325368823E-30</v>
      </c>
      <c r="N114" s="49">
        <f ca="1"/>
        <v>8.126013370207425E-28</v>
      </c>
      <c r="O114" s="49">
        <f ca="1"/>
        <v>7.3142167192539425E-26</v>
      </c>
      <c r="P114" s="49">
        <f ca="1"/>
        <v>4.6082291884665711E-24</v>
      </c>
      <c r="Q114" s="49">
        <f ca="1"/>
        <v>2.1535620116156079E-22</v>
      </c>
      <c r="R114" s="49">
        <f ca="1"/>
        <v>7.7916601175167924E-21</v>
      </c>
      <c r="S114" s="49">
        <f ca="1"/>
        <v>2.2556929438289718E-19</v>
      </c>
      <c r="T114" s="49">
        <f ca="1"/>
        <v>5.3642662231172396E-18</v>
      </c>
      <c r="U114" s="49">
        <f ca="1"/>
        <v>1.0705948789447069E-16</v>
      </c>
      <c r="V114" s="49">
        <f ca="1"/>
        <v>1.825439663599652E-15</v>
      </c>
      <c r="W114" s="49">
        <f ca="1"/>
        <v>2.6995071347266254E-14</v>
      </c>
      <c r="X114" s="49">
        <f ca="1"/>
        <v>3.5073959364507079E-13</v>
      </c>
      <c r="Y114" s="49">
        <f ca="1"/>
        <v>4.0487892801740064E-12</v>
      </c>
      <c r="Z114" s="49">
        <f ca="1"/>
        <v>4.1932374560325734E-11</v>
      </c>
      <c r="AA114" s="49">
        <f ca="1"/>
        <v>3.9300168187138522E-10</v>
      </c>
      <c r="AB114" s="49">
        <f ca="1"/>
        <v>3.3587055995797262E-9</v>
      </c>
      <c r="AC114" s="49">
        <f ca="1"/>
        <v>2.6353242476926016E-8</v>
      </c>
      <c r="AD114" s="49">
        <f ca="1"/>
        <v>1.9099633336811966E-7</v>
      </c>
      <c r="AE114" s="49">
        <f ca="1"/>
        <v>1.2856530526539763E-6</v>
      </c>
      <c r="AF114" s="49">
        <f ca="1"/>
        <v>8.0775351206459529E-6</v>
      </c>
      <c r="AG114" s="49">
        <f ca="1"/>
        <v>4.7581424843199897E-5</v>
      </c>
      <c r="AH114" s="49">
        <f ca="1"/>
        <v>2.6385775025708236E-4</v>
      </c>
      <c r="AI114" s="49">
        <f ca="1"/>
        <v>1.3825797710486096E-3</v>
      </c>
      <c r="AJ114" s="49">
        <f ca="1"/>
        <v>6.8686921410245714E-3</v>
      </c>
      <c r="AK114" s="49">
        <f ca="1"/>
        <v>3.2454405107513656E-2</v>
      </c>
      <c r="AL114" s="49">
        <f ca="1"/>
        <v>0.14626183886203142</v>
      </c>
      <c r="AM114" s="49">
        <f ca="1"/>
        <v>0.63036110346926966</v>
      </c>
      <c r="AN114" s="49">
        <f ca="1"/>
        <v>0.13964861682815935</v>
      </c>
      <c r="AO114" s="49">
        <f ca="1"/>
        <v>3.2276814532926565E-2</v>
      </c>
      <c r="AP114" s="49">
        <f ca="1"/>
        <v>7.7659433596570168E-3</v>
      </c>
      <c r="AQ114" s="49">
        <f ca="1"/>
        <v>1.9411554148834659E-3</v>
      </c>
      <c r="AR114" s="49">
        <f ca="1"/>
        <v>5.0311311472659261E-4</v>
      </c>
      <c r="AS114" s="49">
        <f ca="1"/>
        <v>1.3497233679854049E-4</v>
      </c>
      <c r="AT114" s="49">
        <f ca="1"/>
        <v>3.7418374322109279E-5</v>
      </c>
      <c r="AU114" s="49">
        <f ca="1"/>
        <v>1.0703389946084534E-5</v>
      </c>
      <c r="AV114" s="49">
        <f ca="1"/>
        <v>3.1545197016056136E-6</v>
      </c>
      <c r="AW114" s="49">
        <f ca="1"/>
        <v>9.5662119317365212E-7</v>
      </c>
      <c r="AX114" s="49">
        <f ca="1"/>
        <v>2.98124657302888E-7</v>
      </c>
      <c r="AY114" s="49">
        <f ca="1"/>
        <v>9.5366781995039828E-8</v>
      </c>
      <c r="AZ114" s="49">
        <f ca="1"/>
        <v>3.1279445683740167E-8</v>
      </c>
      <c r="BA114" s="49">
        <f ca="1"/>
        <v>1.0508324612329741E-8</v>
      </c>
      <c r="BB114" s="49">
        <f ca="1"/>
        <v>3.6123886189046299E-9</v>
      </c>
      <c r="BC114" s="49">
        <f ca="1"/>
        <v>1.2694722918366994E-9</v>
      </c>
      <c r="BD114" s="49">
        <f ca="1"/>
        <v>4.5551227780883111E-10</v>
      </c>
      <c r="BE114" s="49">
        <f ca="1"/>
        <v>1.6637161663947621E-10</v>
      </c>
      <c r="BF114" s="49">
        <f ca="1"/>
        <v>6.0863701810799394E-11</v>
      </c>
      <c r="BG114" s="49">
        <f ca="1"/>
        <v>1.9974891405158446E-11</v>
      </c>
    </row>
    <row r="115" spans="1:59" s="49" customFormat="1" x14ac:dyDescent="0.25">
      <c r="A115" s="26"/>
      <c r="H115" s="26">
        <f t="shared" si="96"/>
        <v>30</v>
      </c>
      <c r="K115" s="49">
        <f ca="1"/>
        <v>1.0038408166977876E-35</v>
      </c>
      <c r="L115" s="49">
        <f ca="1"/>
        <v>5.5720994206812113E-33</v>
      </c>
      <c r="M115" s="49">
        <f ca="1"/>
        <v>1.3783579475149436E-30</v>
      </c>
      <c r="N115" s="49">
        <f ca="1"/>
        <v>1.9265100441889345E-28</v>
      </c>
      <c r="O115" s="49">
        <f ca="1"/>
        <v>1.7340498142273755E-26</v>
      </c>
      <c r="P115" s="49">
        <f ca="1"/>
        <v>1.0925160239157784E-24</v>
      </c>
      <c r="Q115" s="49">
        <f ca="1"/>
        <v>5.1056510211664738E-23</v>
      </c>
      <c r="R115" s="49">
        <f ca="1"/>
        <v>1.8472417892316698E-21</v>
      </c>
      <c r="S115" s="49">
        <f ca="1"/>
        <v>5.3477823809951387E-20</v>
      </c>
      <c r="T115" s="49">
        <f ca="1"/>
        <v>1.2717567997645331E-18</v>
      </c>
      <c r="U115" s="49">
        <f ca="1"/>
        <v>2.538159480645263E-17</v>
      </c>
      <c r="V115" s="49">
        <f ca="1"/>
        <v>4.3277406604806402E-16</v>
      </c>
      <c r="W115" s="49">
        <f ca="1"/>
        <v>6.3999742216493328E-15</v>
      </c>
      <c r="X115" s="49">
        <f ca="1"/>
        <v>8.3153118173460035E-14</v>
      </c>
      <c r="Y115" s="49">
        <f ca="1"/>
        <v>9.598843688415695E-13</v>
      </c>
      <c r="Z115" s="49">
        <f ca="1"/>
        <v>9.9413004983891622E-12</v>
      </c>
      <c r="AA115" s="49">
        <f ca="1"/>
        <v>9.3172586976563324E-11</v>
      </c>
      <c r="AB115" s="49">
        <f ca="1"/>
        <v>7.9627977192200841E-10</v>
      </c>
      <c r="AC115" s="49">
        <f ca="1"/>
        <v>6.2478098442322016E-9</v>
      </c>
      <c r="AD115" s="49">
        <f ca="1"/>
        <v>4.5281288360413829E-8</v>
      </c>
      <c r="AE115" s="49">
        <f ca="1"/>
        <v>3.0480180211872167E-7</v>
      </c>
      <c r="AF115" s="49">
        <f ca="1"/>
        <v>1.9150168518386381E-6</v>
      </c>
      <c r="AG115" s="49">
        <f ca="1"/>
        <v>1.1280573720604845E-5</v>
      </c>
      <c r="AH115" s="49">
        <f ca="1"/>
        <v>6.2555226400567564E-5</v>
      </c>
      <c r="AI115" s="49">
        <f ca="1"/>
        <v>3.2778112642332436E-4</v>
      </c>
      <c r="AJ115" s="49">
        <f ca="1"/>
        <v>1.6284251326290466E-3</v>
      </c>
      <c r="AK115" s="49">
        <f ca="1"/>
        <v>7.6942695722153022E-3</v>
      </c>
      <c r="AL115" s="49">
        <f ca="1"/>
        <v>3.4675663060354321E-2</v>
      </c>
      <c r="AM115" s="49">
        <f ca="1"/>
        <v>0.14944560659374959</v>
      </c>
      <c r="AN115" s="49">
        <f ca="1"/>
        <v>0.61744307387158359</v>
      </c>
      <c r="AO115" s="49">
        <f ca="1"/>
        <v>0.142708864811145</v>
      </c>
      <c r="AP115" s="49">
        <f ca="1"/>
        <v>3.4336379753761741E-2</v>
      </c>
      <c r="AQ115" s="49">
        <f ca="1"/>
        <v>8.582633995601701E-3</v>
      </c>
      <c r="AR115" s="49">
        <f ca="1"/>
        <v>2.2244667732309003E-3</v>
      </c>
      <c r="AS115" s="49">
        <f ca="1"/>
        <v>5.9676734659728419E-4</v>
      </c>
      <c r="AT115" s="49">
        <f ca="1"/>
        <v>1.6544178227808951E-4</v>
      </c>
      <c r="AU115" s="49">
        <f ca="1"/>
        <v>4.7324020382449109E-5</v>
      </c>
      <c r="AV115" s="49">
        <f ca="1"/>
        <v>1.394740875625408E-5</v>
      </c>
      <c r="AW115" s="49">
        <f ca="1"/>
        <v>4.2296095977138151E-6</v>
      </c>
      <c r="AX115" s="49">
        <f ca="1"/>
        <v>1.3181298102545184E-6</v>
      </c>
      <c r="AY115" s="49">
        <f ca="1"/>
        <v>4.2165515389755764E-7</v>
      </c>
      <c r="AZ115" s="49">
        <f ca="1"/>
        <v>1.3829909332888826E-7</v>
      </c>
      <c r="BA115" s="49">
        <f ca="1"/>
        <v>4.646155756674108E-8</v>
      </c>
      <c r="BB115" s="49">
        <f ca="1"/>
        <v>1.5971832614853674E-8</v>
      </c>
      <c r="BC115" s="49">
        <f ca="1"/>
        <v>5.6128509674461846E-9</v>
      </c>
      <c r="BD115" s="49">
        <f ca="1"/>
        <v>2.0140042012920131E-9</v>
      </c>
      <c r="BE115" s="49">
        <f ca="1"/>
        <v>7.3559627525182177E-10</v>
      </c>
      <c r="BF115" s="49">
        <f ca="1"/>
        <v>2.6910306730432065E-10</v>
      </c>
      <c r="BG115" s="49">
        <f ca="1"/>
        <v>8.8317082041912176E-11</v>
      </c>
    </row>
    <row r="116" spans="1:59" s="49" customFormat="1" x14ac:dyDescent="0.25">
      <c r="A116" s="26"/>
      <c r="H116" s="26">
        <f t="shared" si="96"/>
        <v>31</v>
      </c>
      <c r="K116" s="49">
        <f ca="1"/>
        <v>2.4774206702006988E-36</v>
      </c>
      <c r="L116" s="49">
        <f ca="1"/>
        <v>1.3751616841622096E-33</v>
      </c>
      <c r="M116" s="49">
        <f ca="1"/>
        <v>3.4017071365379326E-31</v>
      </c>
      <c r="N116" s="49">
        <f ca="1"/>
        <v>4.7545145858118667E-29</v>
      </c>
      <c r="O116" s="49">
        <f ca="1"/>
        <v>4.2795339474803506E-27</v>
      </c>
      <c r="P116" s="49">
        <f ca="1"/>
        <v>2.696265917018669E-25</v>
      </c>
      <c r="Q116" s="49">
        <f ca="1"/>
        <v>1.2600449358373859E-23</v>
      </c>
      <c r="R116" s="49">
        <f ca="1"/>
        <v>4.5588851492963487E-22</v>
      </c>
      <c r="S116" s="49">
        <f ca="1"/>
        <v>1.3198015452285668E-20</v>
      </c>
      <c r="T116" s="49">
        <f ca="1"/>
        <v>3.1386217125234466E-19</v>
      </c>
      <c r="U116" s="49">
        <f ca="1"/>
        <v>6.2640297714747264E-18</v>
      </c>
      <c r="V116" s="49">
        <f ca="1"/>
        <v>1.0680611895033728E-16</v>
      </c>
      <c r="W116" s="49">
        <f ca="1"/>
        <v>1.5794763633564283E-15</v>
      </c>
      <c r="X116" s="49">
        <f ca="1"/>
        <v>2.0521705267199785E-14</v>
      </c>
      <c r="Y116" s="49">
        <f ca="1"/>
        <v>2.3689387169904037E-13</v>
      </c>
      <c r="Z116" s="49">
        <f ca="1"/>
        <v>2.4534550631647078E-12</v>
      </c>
      <c r="AA116" s="49">
        <f ca="1"/>
        <v>2.2994451812702344E-11</v>
      </c>
      <c r="AB116" s="49">
        <f ca="1"/>
        <v>1.9651721004050198E-10</v>
      </c>
      <c r="AC116" s="49">
        <f ca="1"/>
        <v>1.5419230812412907E-9</v>
      </c>
      <c r="AD116" s="49">
        <f ca="1"/>
        <v>1.1175158241366894E-8</v>
      </c>
      <c r="AE116" s="49">
        <f ca="1"/>
        <v>7.5223309544971265E-8</v>
      </c>
      <c r="AF116" s="49">
        <f ca="1"/>
        <v>4.7261500564745535E-7</v>
      </c>
      <c r="AG116" s="49">
        <f ca="1"/>
        <v>2.7839798942507811E-6</v>
      </c>
      <c r="AH116" s="49">
        <f ca="1"/>
        <v>1.5438265543301463E-5</v>
      </c>
      <c r="AI116" s="49">
        <f ca="1"/>
        <v>8.0894472947824487E-5</v>
      </c>
      <c r="AJ116" s="49">
        <f ca="1"/>
        <v>4.0188583850581393E-4</v>
      </c>
      <c r="AK116" s="49">
        <f ca="1"/>
        <v>1.8989009176781852E-3</v>
      </c>
      <c r="AL116" s="49">
        <f ca="1"/>
        <v>8.557751686291434E-3</v>
      </c>
      <c r="AM116" s="49">
        <f ca="1"/>
        <v>3.6882305310514188E-2</v>
      </c>
      <c r="AN116" s="49">
        <f ca="1"/>
        <v>0.15238135453723373</v>
      </c>
      <c r="AO116" s="49">
        <f ca="1"/>
        <v>0.6048884497396485</v>
      </c>
      <c r="AP116" s="49">
        <f ca="1"/>
        <v>0.14553881811344041</v>
      </c>
      <c r="AQ116" s="49">
        <f ca="1"/>
        <v>3.6378512148860419E-2</v>
      </c>
      <c r="AR116" s="49">
        <f ca="1"/>
        <v>9.4286662551597497E-3</v>
      </c>
      <c r="AS116" s="49">
        <f ca="1"/>
        <v>2.5294691792004482E-3</v>
      </c>
      <c r="AT116" s="49">
        <f ca="1"/>
        <v>7.0124461670122281E-4</v>
      </c>
      <c r="AU116" s="49">
        <f ca="1"/>
        <v>2.0058847334024626E-4</v>
      </c>
      <c r="AV116" s="49">
        <f ca="1"/>
        <v>5.9117746270495605E-5</v>
      </c>
      <c r="AW116" s="49">
        <f ca="1"/>
        <v>1.7927701940245854E-5</v>
      </c>
      <c r="AX116" s="49">
        <f ca="1"/>
        <v>5.5870495398839791E-6</v>
      </c>
      <c r="AY116" s="49">
        <f ca="1"/>
        <v>1.7872353809509652E-6</v>
      </c>
      <c r="AZ116" s="49">
        <f ca="1"/>
        <v>5.8619711028334808E-7</v>
      </c>
      <c r="BA116" s="49">
        <f ca="1"/>
        <v>1.9693282240193833E-7</v>
      </c>
      <c r="BB116" s="49">
        <f ca="1"/>
        <v>6.7698506905546444E-8</v>
      </c>
      <c r="BC116" s="49">
        <f ca="1"/>
        <v>2.3790734547648516E-8</v>
      </c>
      <c r="BD116" s="49">
        <f ca="1"/>
        <v>8.5365956817107578E-9</v>
      </c>
      <c r="BE116" s="49">
        <f ca="1"/>
        <v>3.117912059353618E-9</v>
      </c>
      <c r="BF116" s="49">
        <f ca="1"/>
        <v>1.1406252682151705E-9</v>
      </c>
      <c r="BG116" s="49">
        <f ca="1"/>
        <v>3.7434242723854633E-10</v>
      </c>
    </row>
    <row r="117" spans="1:59" s="49" customFormat="1" x14ac:dyDescent="0.25">
      <c r="A117" s="26"/>
      <c r="H117" s="26">
        <f t="shared" si="96"/>
        <v>32</v>
      </c>
      <c r="K117" s="49">
        <f ca="1"/>
        <v>6.3515522889536382E-37</v>
      </c>
      <c r="L117" s="49">
        <f ca="1"/>
        <v>3.5256068732219932E-34</v>
      </c>
      <c r="M117" s="49">
        <f ca="1"/>
        <v>8.7212159845574748E-32</v>
      </c>
      <c r="N117" s="49">
        <f ca="1"/>
        <v>1.2189511601164768E-29</v>
      </c>
      <c r="O117" s="49">
        <f ca="1"/>
        <v>1.097176751882497E-27</v>
      </c>
      <c r="P117" s="49">
        <f ca="1"/>
        <v>6.9126225363576426E-26</v>
      </c>
      <c r="Q117" s="49">
        <f ca="1"/>
        <v>3.2304732872653538E-24</v>
      </c>
      <c r="R117" s="49">
        <f ca="1"/>
        <v>1.1687961496964585E-22</v>
      </c>
      <c r="S117" s="49">
        <f ca="1"/>
        <v>3.383675863527025E-21</v>
      </c>
      <c r="T117" s="49">
        <f ca="1"/>
        <v>8.0467238213213566E-20</v>
      </c>
      <c r="U117" s="49">
        <f ca="1"/>
        <v>1.6059570791367012E-18</v>
      </c>
      <c r="V117" s="49">
        <f ca="1"/>
        <v>2.73826991698714E-17</v>
      </c>
      <c r="W117" s="49">
        <f ca="1"/>
        <v>4.0494239963744129E-16</v>
      </c>
      <c r="X117" s="49">
        <f ca="1"/>
        <v>5.2613060684827241E-15</v>
      </c>
      <c r="Y117" s="49">
        <f ca="1"/>
        <v>6.0734288331712194E-14</v>
      </c>
      <c r="Z117" s="49">
        <f ca="1"/>
        <v>6.2901098346879751E-13</v>
      </c>
      <c r="AA117" s="49">
        <f ca="1"/>
        <v>5.8952629563864888E-12</v>
      </c>
      <c r="AB117" s="49">
        <f ca="1"/>
        <v>5.0382615688373006E-11</v>
      </c>
      <c r="AC117" s="49">
        <f ca="1"/>
        <v>3.9531457833744373E-10</v>
      </c>
      <c r="AD117" s="49">
        <f ca="1"/>
        <v>2.8650605349806357E-9</v>
      </c>
      <c r="AE117" s="49">
        <f ca="1"/>
        <v>1.9285573486569974E-8</v>
      </c>
      <c r="AF117" s="49">
        <f ca="1"/>
        <v>1.2116791294353527E-7</v>
      </c>
      <c r="AG117" s="49">
        <f ca="1"/>
        <v>7.1375015484540079E-7</v>
      </c>
      <c r="AH117" s="49">
        <f ca="1"/>
        <v>3.9580258624824819E-6</v>
      </c>
      <c r="AI117" s="49">
        <f ca="1"/>
        <v>2.0739532893855639E-5</v>
      </c>
      <c r="AJ117" s="49">
        <f ca="1"/>
        <v>1.0303453701517979E-4</v>
      </c>
      <c r="AK117" s="49">
        <f ca="1"/>
        <v>4.8683570841434717E-4</v>
      </c>
      <c r="AL117" s="49">
        <f ca="1"/>
        <v>2.1940160573116489E-3</v>
      </c>
      <c r="AM117" s="49">
        <f ca="1"/>
        <v>9.455797860034228E-3</v>
      </c>
      <c r="AN117" s="49">
        <f ca="1"/>
        <v>3.9067169853168909E-2</v>
      </c>
      <c r="AO117" s="49">
        <f ca="1"/>
        <v>0.15507986446218833</v>
      </c>
      <c r="AP117" s="49">
        <f ca="1"/>
        <v>0.59269391041025254</v>
      </c>
      <c r="AQ117" s="49">
        <f ca="1"/>
        <v>0.14814825968704073</v>
      </c>
      <c r="AR117" s="49">
        <f ca="1"/>
        <v>3.8397405895985809E-2</v>
      </c>
      <c r="AS117" s="49">
        <f ca="1"/>
        <v>1.0301038571812306E-2</v>
      </c>
      <c r="AT117" s="49">
        <f ca="1"/>
        <v>2.8557564189014388E-3</v>
      </c>
      <c r="AU117" s="49">
        <f ca="1"/>
        <v>8.1687874196275365E-4</v>
      </c>
      <c r="AV117" s="49">
        <f ca="1"/>
        <v>2.4075177101129253E-4</v>
      </c>
      <c r="AW117" s="49">
        <f ca="1"/>
        <v>7.3008973862571968E-5</v>
      </c>
      <c r="AX117" s="49">
        <f ca="1"/>
        <v>2.2752763024834754E-5</v>
      </c>
      <c r="AY117" s="49">
        <f ca="1"/>
        <v>7.2783573516017217E-6</v>
      </c>
      <c r="AZ117" s="49">
        <f ca="1"/>
        <v>2.387235667217104E-6</v>
      </c>
      <c r="BA117" s="49">
        <f ca="1"/>
        <v>8.0199142820133639E-7</v>
      </c>
      <c r="BB117" s="49">
        <f ca="1"/>
        <v>2.7569615657802523E-7</v>
      </c>
      <c r="BC117" s="49">
        <f ca="1"/>
        <v>9.6885653417821087E-8</v>
      </c>
      <c r="BD117" s="49">
        <f ca="1"/>
        <v>3.4764527716864662E-8</v>
      </c>
      <c r="BE117" s="49">
        <f ca="1"/>
        <v>1.2697419937361168E-8</v>
      </c>
      <c r="BF117" s="49">
        <f ca="1"/>
        <v>4.6450950976134145E-9</v>
      </c>
      <c r="BG117" s="49">
        <f ca="1"/>
        <v>1.5244762868662452E-9</v>
      </c>
    </row>
    <row r="118" spans="1:59" s="49" customFormat="1" x14ac:dyDescent="0.25">
      <c r="A118" s="26"/>
      <c r="H118" s="26">
        <f t="shared" si="96"/>
        <v>33</v>
      </c>
      <c r="K118" s="49">
        <f ca="1"/>
        <v>1.6883943488593434E-37</v>
      </c>
      <c r="L118" s="49">
        <f ca="1"/>
        <v>9.3719054024009524E-35</v>
      </c>
      <c r="M118" s="49">
        <f ca="1"/>
        <v>2.3183075748455196E-32</v>
      </c>
      <c r="N118" s="49">
        <f ca="1"/>
        <v>3.2402634138043903E-30</v>
      </c>
      <c r="O118" s="49">
        <f ca="1"/>
        <v>2.9165579425363361E-28</v>
      </c>
      <c r="P118" s="49">
        <f ca="1"/>
        <v>1.8375402256361995E-26</v>
      </c>
      <c r="Q118" s="49">
        <f ca="1"/>
        <v>8.5873698179983659E-25</v>
      </c>
      <c r="R118" s="49">
        <f ca="1"/>
        <v>3.1069394131385756E-23</v>
      </c>
      <c r="S118" s="49">
        <f ca="1"/>
        <v>8.9946188686607679E-22</v>
      </c>
      <c r="T118" s="49">
        <f ca="1"/>
        <v>2.1390114429789291E-20</v>
      </c>
      <c r="U118" s="49">
        <f ca="1"/>
        <v>4.2690176095074828E-19</v>
      </c>
      <c r="V118" s="49">
        <f ca="1"/>
        <v>7.2789756632142535E-18</v>
      </c>
      <c r="W118" s="49">
        <f ca="1"/>
        <v>1.0764336465441139E-16</v>
      </c>
      <c r="X118" s="49">
        <f ca="1"/>
        <v>1.3985808554382576E-15</v>
      </c>
      <c r="Y118" s="49">
        <f ca="1"/>
        <v>1.6144624894231952E-14</v>
      </c>
      <c r="Z118" s="49">
        <f ca="1"/>
        <v>1.6720614765404596E-13</v>
      </c>
      <c r="AA118" s="49">
        <f ca="1"/>
        <v>1.5671017426580187E-12</v>
      </c>
      <c r="AB118" s="49">
        <f ca="1"/>
        <v>1.3392902984825291E-11</v>
      </c>
      <c r="AC118" s="49">
        <f ca="1"/>
        <v>1.0508405972622642E-10</v>
      </c>
      <c r="AD118" s="49">
        <f ca="1"/>
        <v>7.6160154184893662E-10</v>
      </c>
      <c r="AE118" s="49">
        <f ca="1"/>
        <v>5.1265662011263363E-9</v>
      </c>
      <c r="AF118" s="49">
        <f ca="1"/>
        <v>3.2209326188299162E-8</v>
      </c>
      <c r="AG118" s="49">
        <f ca="1"/>
        <v>1.8973184398313196E-7</v>
      </c>
      <c r="AH118" s="49">
        <f ca="1"/>
        <v>1.0521378388833934E-6</v>
      </c>
      <c r="AI118" s="49">
        <f ca="1"/>
        <v>5.513063349390609E-6</v>
      </c>
      <c r="AJ118" s="49">
        <f ca="1"/>
        <v>2.7389041626299397E-5</v>
      </c>
      <c r="AK118" s="49">
        <f ca="1"/>
        <v>1.2941256271152123E-4</v>
      </c>
      <c r="AL118" s="49">
        <f ca="1"/>
        <v>5.8322188717774173E-4</v>
      </c>
      <c r="AM118" s="49">
        <f ca="1"/>
        <v>2.5135769878812057E-3</v>
      </c>
      <c r="AN118" s="49">
        <f ca="1"/>
        <v>1.0384987134678059E-2</v>
      </c>
      <c r="AO118" s="49">
        <f ca="1"/>
        <v>4.1223933121861601E-2</v>
      </c>
      <c r="AP118" s="49">
        <f ca="1"/>
        <v>0.15755220195233141</v>
      </c>
      <c r="AQ118" s="49">
        <f ca="1"/>
        <v>0.58085458523057587</v>
      </c>
      <c r="AR118" s="49">
        <f ca="1"/>
        <v>0.15054722426546255</v>
      </c>
      <c r="AS118" s="49">
        <f ca="1"/>
        <v>4.0387956630162154E-2</v>
      </c>
      <c r="AT118" s="49">
        <f ca="1"/>
        <v>1.1196751239094384E-2</v>
      </c>
      <c r="AU118" s="49">
        <f ca="1"/>
        <v>3.2027899878729099E-3</v>
      </c>
      <c r="AV118" s="49">
        <f ca="1"/>
        <v>9.4393123746241059E-4</v>
      </c>
      <c r="AW118" s="49">
        <f ca="1"/>
        <v>2.8625106579475941E-4</v>
      </c>
      <c r="AX118" s="49">
        <f ca="1"/>
        <v>8.920824826129259E-5</v>
      </c>
      <c r="AY118" s="49">
        <f ca="1"/>
        <v>2.8536732389265766E-5</v>
      </c>
      <c r="AZ118" s="49">
        <f ca="1"/>
        <v>9.3597912406008794E-6</v>
      </c>
      <c r="BA118" s="49">
        <f ca="1"/>
        <v>3.1444203217131266E-6</v>
      </c>
      <c r="BB118" s="49">
        <f ca="1"/>
        <v>1.0809399787556259E-6</v>
      </c>
      <c r="BC118" s="49">
        <f ca="1"/>
        <v>3.7986592721159436E-7</v>
      </c>
      <c r="BD118" s="49">
        <f ca="1"/>
        <v>1.3630356084083435E-7</v>
      </c>
      <c r="BE118" s="49">
        <f ca="1"/>
        <v>4.9783606009241068E-8</v>
      </c>
      <c r="BF118" s="49">
        <f ca="1"/>
        <v>1.8212328595560545E-8</v>
      </c>
      <c r="BG118" s="49">
        <f ca="1"/>
        <v>5.9771140286908169E-9</v>
      </c>
    </row>
    <row r="119" spans="1:59" s="49" customFormat="1" x14ac:dyDescent="0.25">
      <c r="A119" s="26"/>
      <c r="H119" s="26">
        <f t="shared" ref="H119:H135" si="97">H118+1</f>
        <v>34</v>
      </c>
      <c r="K119" s="49">
        <f ca="1"/>
        <v>4.6452508852874533E-38</v>
      </c>
      <c r="L119" s="49">
        <f ca="1"/>
        <v>2.578476521006177E-35</v>
      </c>
      <c r="M119" s="49">
        <f ca="1"/>
        <v>6.3783205159951122E-33</v>
      </c>
      <c r="N119" s="49">
        <f ca="1"/>
        <v>8.914882060407398E-31</v>
      </c>
      <c r="O119" s="49">
        <f ca="1"/>
        <v>8.0242766588931157E-29</v>
      </c>
      <c r="P119" s="49">
        <f ca="1"/>
        <v>5.0555934196620341E-27</v>
      </c>
      <c r="Q119" s="49">
        <f ca="1"/>
        <v>2.3626285693444274E-25</v>
      </c>
      <c r="R119" s="49">
        <f ca="1"/>
        <v>8.5480699868291208E-24</v>
      </c>
      <c r="S119" s="49">
        <f ca="1"/>
        <v>2.4746743135392041E-22</v>
      </c>
      <c r="T119" s="49">
        <f ca="1"/>
        <v>5.8850260934897452E-21</v>
      </c>
      <c r="U119" s="49">
        <f ca="1"/>
        <v>1.1745276121819343E-19</v>
      </c>
      <c r="V119" s="49">
        <f ca="1"/>
        <v>2.0026522930721262E-18</v>
      </c>
      <c r="W119" s="49">
        <f ca="1"/>
        <v>2.9615737300592041E-17</v>
      </c>
      <c r="X119" s="49">
        <f ca="1"/>
        <v>3.8478919105952784E-16</v>
      </c>
      <c r="Y119" s="49">
        <f ca="1"/>
        <v>4.4418434078052333E-15</v>
      </c>
      <c r="Z119" s="49">
        <f ca="1"/>
        <v>4.6003145292460829E-14</v>
      </c>
      <c r="AA119" s="49">
        <f ca="1"/>
        <v>4.3115405843046441E-13</v>
      </c>
      <c r="AB119" s="49">
        <f ca="1"/>
        <v>3.6847668015981687E-12</v>
      </c>
      <c r="AC119" s="49">
        <f ca="1"/>
        <v>2.8911600053780976E-11</v>
      </c>
      <c r="AD119" s="49">
        <f ca="1"/>
        <v>2.0953814722847024E-10</v>
      </c>
      <c r="AE119" s="49">
        <f ca="1"/>
        <v>1.4104635093309447E-9</v>
      </c>
      <c r="AF119" s="49">
        <f ca="1"/>
        <v>8.8616975703448982E-9</v>
      </c>
      <c r="AG119" s="49">
        <f ca="1"/>
        <v>5.2200602117940892E-8</v>
      </c>
      <c r="AH119" s="49">
        <f ca="1"/>
        <v>2.8947290843631427E-7</v>
      </c>
      <c r="AI119" s="49">
        <f ca="1"/>
        <v>1.5167998176317052E-6</v>
      </c>
      <c r="AJ119" s="49">
        <f ca="1"/>
        <v>7.5355008116259317E-6</v>
      </c>
      <c r="AK119" s="49">
        <f ca="1"/>
        <v>3.5605060032873457E-5</v>
      </c>
      <c r="AL119" s="49">
        <f ca="1"/>
        <v>1.604608538024148E-4</v>
      </c>
      <c r="AM119" s="49">
        <f ca="1"/>
        <v>6.9155619574784899E-4</v>
      </c>
      <c r="AN119" s="49">
        <f ca="1"/>
        <v>2.85720398872769E-3</v>
      </c>
      <c r="AO119" s="49">
        <f ca="1"/>
        <v>1.1341871166456472E-2</v>
      </c>
      <c r="AP119" s="49">
        <f ca="1"/>
        <v>4.334707149976523E-2</v>
      </c>
      <c r="AQ119" s="49">
        <f ca="1"/>
        <v>0.15980954201182251</v>
      </c>
      <c r="AR119" s="49">
        <f ca="1"/>
        <v>0.56936435915128136</v>
      </c>
      <c r="AS119" s="49">
        <f ca="1"/>
        <v>0.15274584540737679</v>
      </c>
      <c r="AT119" s="49">
        <f ca="1"/>
        <v>4.2345723243505891E-2</v>
      </c>
      <c r="AU119" s="49">
        <f ca="1"/>
        <v>1.2112840192429549E-2</v>
      </c>
      <c r="AV119" s="49">
        <f ca="1"/>
        <v>3.5699150663381393E-3</v>
      </c>
      <c r="AW119" s="49">
        <f ca="1"/>
        <v>1.0825915617362497E-3</v>
      </c>
      <c r="AX119" s="49">
        <f ca="1"/>
        <v>3.373824881203845E-4</v>
      </c>
      <c r="AY119" s="49">
        <f ca="1"/>
        <v>1.0792492806400663E-4</v>
      </c>
      <c r="AZ119" s="49">
        <f ca="1"/>
        <v>3.5398404503941873E-5</v>
      </c>
      <c r="BA119" s="49">
        <f ca="1"/>
        <v>1.1892088147819694E-5</v>
      </c>
      <c r="BB119" s="49">
        <f ca="1"/>
        <v>4.0880773543852608E-6</v>
      </c>
      <c r="BC119" s="49">
        <f ca="1"/>
        <v>1.4366397073443395E-6</v>
      </c>
      <c r="BD119" s="49">
        <f ca="1"/>
        <v>5.1549532013512679E-7</v>
      </c>
      <c r="BE119" s="49">
        <f ca="1"/>
        <v>1.8827986414223202E-7</v>
      </c>
      <c r="BF119" s="49">
        <f ca="1"/>
        <v>6.8878392478225004E-8</v>
      </c>
      <c r="BG119" s="49">
        <f ca="1"/>
        <v>2.260523709503164E-8</v>
      </c>
    </row>
    <row r="120" spans="1:59" s="49" customFormat="1" x14ac:dyDescent="0.25">
      <c r="A120" s="26"/>
      <c r="H120" s="26">
        <f t="shared" si="97"/>
        <v>35</v>
      </c>
      <c r="K120" s="49">
        <f ca="1"/>
        <v>1.3205856022705155E-38</v>
      </c>
      <c r="L120" s="49">
        <f ca="1"/>
        <v>7.3302800075191511E-36</v>
      </c>
      <c r="M120" s="49">
        <f ca="1"/>
        <v>1.81327520258759E-33</v>
      </c>
      <c r="N120" s="49">
        <f ca="1"/>
        <v>2.5343873098869665E-31</v>
      </c>
      <c r="O120" s="49">
        <f ca="1"/>
        <v>2.2811995489698649E-29</v>
      </c>
      <c r="P120" s="49">
        <f ca="1"/>
        <v>1.4372407531495692E-27</v>
      </c>
      <c r="Q120" s="49">
        <f ca="1"/>
        <v>6.7166518003820674E-26</v>
      </c>
      <c r="R120" s="49">
        <f ca="1"/>
        <v>2.4301073140226544E-24</v>
      </c>
      <c r="S120" s="49">
        <f ca="1"/>
        <v>7.0351835659061817E-23</v>
      </c>
      <c r="T120" s="49">
        <f ca="1"/>
        <v>1.6730378875043115E-21</v>
      </c>
      <c r="U120" s="49">
        <f ca="1"/>
        <v>3.3390322555649188E-20</v>
      </c>
      <c r="V120" s="49">
        <f ca="1"/>
        <v>5.6932851419529457E-19</v>
      </c>
      <c r="W120" s="49">
        <f ca="1"/>
        <v>8.4193765300509767E-18</v>
      </c>
      <c r="X120" s="49">
        <f ca="1"/>
        <v>1.093906611657825E-16</v>
      </c>
      <c r="Y120" s="49">
        <f ca="1"/>
        <v>1.2627594497567829E-15</v>
      </c>
      <c r="Z120" s="49">
        <f ca="1"/>
        <v>1.307810769161999E-14</v>
      </c>
      <c r="AA120" s="49">
        <f ca="1"/>
        <v>1.2257160183255384E-13</v>
      </c>
      <c r="AB120" s="49">
        <f ca="1"/>
        <v>1.0475322229261689E-12</v>
      </c>
      <c r="AC120" s="49">
        <f ca="1"/>
        <v>8.2191992881486699E-12</v>
      </c>
      <c r="AD120" s="49">
        <f ca="1"/>
        <v>5.9569023759894076E-11</v>
      </c>
      <c r="AE120" s="49">
        <f ca="1"/>
        <v>4.0097679306187316E-10</v>
      </c>
      <c r="AF120" s="49">
        <f ca="1"/>
        <v>2.5192676374354559E-9</v>
      </c>
      <c r="AG120" s="49">
        <f ca="1"/>
        <v>1.4839965652907618E-8</v>
      </c>
      <c r="AH120" s="49">
        <f ca="1"/>
        <v>8.2293457246650367E-8</v>
      </c>
      <c r="AI120" s="49">
        <f ca="1"/>
        <v>4.3120684978181142E-7</v>
      </c>
      <c r="AJ120" s="49">
        <f ca="1"/>
        <v>2.1422468072174305E-6</v>
      </c>
      <c r="AK120" s="49">
        <f ca="1"/>
        <v>1.0122064622238468E-5</v>
      </c>
      <c r="AL120" s="49">
        <f ca="1"/>
        <v>4.5616974947606152E-5</v>
      </c>
      <c r="AM120" s="49">
        <f ca="1"/>
        <v>1.9660060948657805E-4</v>
      </c>
      <c r="AN120" s="49">
        <f ca="1"/>
        <v>8.1226666620185938E-4</v>
      </c>
      <c r="AO120" s="49">
        <f ca="1"/>
        <v>3.2243493699485432E-3</v>
      </c>
      <c r="AP120" s="49">
        <f ca="1"/>
        <v>1.2323019775849689E-2</v>
      </c>
      <c r="AQ120" s="49">
        <f ca="1"/>
        <v>4.5431815309411074E-2</v>
      </c>
      <c r="AR120" s="49">
        <f ca="1"/>
        <v>0.16186302822148496</v>
      </c>
      <c r="AS120" s="49">
        <f ca="1"/>
        <v>0.5582161349236846</v>
      </c>
      <c r="AT120" s="49">
        <f ca="1"/>
        <v>0.15475423175337183</v>
      </c>
      <c r="AU120" s="49">
        <f ca="1"/>
        <v>4.4266885407802624E-2</v>
      </c>
      <c r="AV120" s="49">
        <f ca="1"/>
        <v>1.3046405190414855E-2</v>
      </c>
      <c r="AW120" s="49">
        <f ca="1"/>
        <v>3.9563765265213519E-3</v>
      </c>
      <c r="AX120" s="49">
        <f ca="1"/>
        <v>1.2329785337677117E-3</v>
      </c>
      <c r="AY120" s="49">
        <f ca="1"/>
        <v>3.9441620192765621E-4</v>
      </c>
      <c r="AZ120" s="49">
        <f ca="1"/>
        <v>1.2936496237888042E-4</v>
      </c>
      <c r="BA120" s="49">
        <f ca="1"/>
        <v>4.3460137749364101E-5</v>
      </c>
      <c r="BB120" s="49">
        <f ca="1"/>
        <v>1.4940051128380954E-5</v>
      </c>
      <c r="BC120" s="49">
        <f ca="1"/>
        <v>5.2502604085421535E-6</v>
      </c>
      <c r="BD120" s="49">
        <f ca="1"/>
        <v>1.8838993912379158E-6</v>
      </c>
      <c r="BE120" s="49">
        <f ca="1"/>
        <v>6.880767052297019E-7</v>
      </c>
      <c r="BF120" s="49">
        <f ca="1"/>
        <v>2.5171899063052669E-7</v>
      </c>
      <c r="BG120" s="49">
        <f ca="1"/>
        <v>8.2611792461968023E-8</v>
      </c>
    </row>
    <row r="121" spans="1:59" s="49" customFormat="1" x14ac:dyDescent="0.25">
      <c r="A121" s="26"/>
      <c r="H121" s="26">
        <f t="shared" si="97"/>
        <v>36</v>
      </c>
      <c r="K121" s="49">
        <f ca="1"/>
        <v>3.8732507990918514E-39</v>
      </c>
      <c r="L121" s="49">
        <f ca="1"/>
        <v>2.1499562654534081E-36</v>
      </c>
      <c r="M121" s="49">
        <f ca="1"/>
        <v>5.318299408474953E-34</v>
      </c>
      <c r="N121" s="49">
        <f ca="1"/>
        <v>7.4333066000041969E-32</v>
      </c>
      <c r="O121" s="49">
        <f ca="1"/>
        <v>6.6907120301358229E-30</v>
      </c>
      <c r="P121" s="49">
        <f ca="1"/>
        <v>4.2153979916582585E-28</v>
      </c>
      <c r="Q121" s="49">
        <f ca="1"/>
        <v>1.969980356314869E-26</v>
      </c>
      <c r="R121" s="49">
        <f ca="1"/>
        <v>7.1274554862132375E-25</v>
      </c>
      <c r="S121" s="49">
        <f ca="1"/>
        <v>2.0634050773803718E-23</v>
      </c>
      <c r="T121" s="49">
        <f ca="1"/>
        <v>4.9069862063811906E-22</v>
      </c>
      <c r="U121" s="49">
        <f ca="1"/>
        <v>9.7933139130279922E-21</v>
      </c>
      <c r="V121" s="49">
        <f ca="1"/>
        <v>1.6698289900793468E-19</v>
      </c>
      <c r="W121" s="49">
        <f ca="1"/>
        <v>2.4693860675754245E-18</v>
      </c>
      <c r="X121" s="49">
        <f ca="1"/>
        <v>3.2084059151112923E-17</v>
      </c>
      <c r="Y121" s="49">
        <f ca="1"/>
        <v>3.7036478660846031E-16</v>
      </c>
      <c r="Z121" s="49">
        <f ca="1"/>
        <v>3.8357824725700762E-15</v>
      </c>
      <c r="AA121" s="49">
        <f ca="1"/>
        <v>3.5950002326820536E-14</v>
      </c>
      <c r="AB121" s="49">
        <f ca="1"/>
        <v>3.0723907731140908E-13</v>
      </c>
      <c r="AC121" s="49">
        <f ca="1"/>
        <v>2.4106744883468573E-12</v>
      </c>
      <c r="AD121" s="49">
        <f ca="1"/>
        <v>1.7471473903883148E-11</v>
      </c>
      <c r="AE121" s="49">
        <f ca="1"/>
        <v>1.1760568050067584E-10</v>
      </c>
      <c r="AF121" s="49">
        <f ca="1"/>
        <v>7.3889609072265896E-10</v>
      </c>
      <c r="AG121" s="49">
        <f ca="1"/>
        <v>4.3525318407829943E-9</v>
      </c>
      <c r="AH121" s="49">
        <f ca="1"/>
        <v>2.4136504176071323E-8</v>
      </c>
      <c r="AI121" s="49">
        <f ca="1"/>
        <v>1.2647209485092921E-7</v>
      </c>
      <c r="AJ121" s="49">
        <f ca="1"/>
        <v>6.2831664555791414E-7</v>
      </c>
      <c r="AK121" s="49">
        <f ca="1"/>
        <v>2.9687810331369559E-6</v>
      </c>
      <c r="AL121" s="49">
        <f ca="1"/>
        <v>1.3379366272370977E-5</v>
      </c>
      <c r="AM121" s="49">
        <f ca="1"/>
        <v>5.7662560191978171E-5</v>
      </c>
      <c r="AN121" s="49">
        <f ca="1"/>
        <v>2.3823616648044904E-4</v>
      </c>
      <c r="AO121" s="49">
        <f ca="1"/>
        <v>9.4569513344930811E-4</v>
      </c>
      <c r="AP121" s="49">
        <f ca="1"/>
        <v>3.6143167176721351E-3</v>
      </c>
      <c r="AQ121" s="49">
        <f ca="1"/>
        <v>1.3325059325864396E-2</v>
      </c>
      <c r="AR121" s="49">
        <f ca="1"/>
        <v>4.7474098030781703E-2</v>
      </c>
      <c r="AS121" s="49">
        <f ca="1"/>
        <v>0.16372366069581215</v>
      </c>
      <c r="AT121" s="49">
        <f ca="1"/>
        <v>0.54740205675307907</v>
      </c>
      <c r="AU121" s="49">
        <f ca="1"/>
        <v>0.15658236833808617</v>
      </c>
      <c r="AV121" s="49">
        <f ca="1"/>
        <v>4.6148198686085579E-2</v>
      </c>
      <c r="AW121" s="49">
        <f ca="1"/>
        <v>1.399463280176313E-2</v>
      </c>
      <c r="AX121" s="49">
        <f ca="1"/>
        <v>4.3613345991886611E-3</v>
      </c>
      <c r="AY121" s="49">
        <f ca="1"/>
        <v>1.3951427221455129E-3</v>
      </c>
      <c r="AZ121" s="49">
        <f ca="1"/>
        <v>4.5759424912424675E-4</v>
      </c>
      <c r="BA121" s="49">
        <f ca="1"/>
        <v>1.5372871243151447E-4</v>
      </c>
      <c r="BB121" s="49">
        <f ca="1"/>
        <v>5.2846469030361128E-5</v>
      </c>
      <c r="BC121" s="49">
        <f ca="1"/>
        <v>1.8571403919380164E-5</v>
      </c>
      <c r="BD121" s="49">
        <f ca="1"/>
        <v>6.6637945198357358E-6</v>
      </c>
      <c r="BE121" s="49">
        <f ca="1"/>
        <v>2.4338888790252048E-6</v>
      </c>
      <c r="BF121" s="49">
        <f ca="1"/>
        <v>8.9038917794864831E-7</v>
      </c>
      <c r="BG121" s="49">
        <f ca="1"/>
        <v>2.9221730865369046E-7</v>
      </c>
    </row>
    <row r="122" spans="1:59" s="49" customFormat="1" x14ac:dyDescent="0.25">
      <c r="A122" s="26"/>
      <c r="H122" s="26">
        <f t="shared" si="97"/>
        <v>37</v>
      </c>
      <c r="K122" s="49">
        <f ca="1"/>
        <v>1.1703358225583728E-39</v>
      </c>
      <c r="L122" s="49">
        <f ca="1"/>
        <v>6.4962765514278077E-37</v>
      </c>
      <c r="M122" s="49">
        <f ca="1"/>
        <v>1.6069696065869549E-34</v>
      </c>
      <c r="N122" s="49">
        <f ca="1"/>
        <v>2.2460371004336273E-32</v>
      </c>
      <c r="O122" s="49">
        <f ca="1"/>
        <v>2.0216558063129228E-30</v>
      </c>
      <c r="P122" s="49">
        <f ca="1"/>
        <v>1.2737185201472123E-28</v>
      </c>
      <c r="Q122" s="49">
        <f ca="1"/>
        <v>5.9524639645647801E-27</v>
      </c>
      <c r="R122" s="49">
        <f ca="1"/>
        <v>2.1536215731657154E-25</v>
      </c>
      <c r="S122" s="49">
        <f ca="1"/>
        <v>6.2347547416069433E-24</v>
      </c>
      <c r="T122" s="49">
        <f ca="1"/>
        <v>1.4826878082550763E-22</v>
      </c>
      <c r="U122" s="49">
        <f ca="1"/>
        <v>2.959133474306209E-21</v>
      </c>
      <c r="V122" s="49">
        <f ca="1"/>
        <v>5.0455309661190507E-20</v>
      </c>
      <c r="W122" s="49">
        <f ca="1"/>
        <v>7.4614609910819143E-19</v>
      </c>
      <c r="X122" s="49">
        <f ca="1"/>
        <v>9.6944726033318706E-18</v>
      </c>
      <c r="Y122" s="49">
        <f ca="1"/>
        <v>1.1190888472383418E-16</v>
      </c>
      <c r="Z122" s="49">
        <f ca="1"/>
        <v>1.1590144475650393E-15</v>
      </c>
      <c r="AA122" s="49">
        <f ca="1"/>
        <v>1.0862600365047308E-14</v>
      </c>
      <c r="AB122" s="49">
        <f ca="1"/>
        <v>9.2834912304576652E-14</v>
      </c>
      <c r="AC122" s="49">
        <f ca="1"/>
        <v>7.2840589380408943E-13</v>
      </c>
      <c r="AD122" s="49">
        <f ca="1"/>
        <v>5.2791551188480973E-12</v>
      </c>
      <c r="AE122" s="49">
        <f ca="1"/>
        <v>3.5535561203154522E-11</v>
      </c>
      <c r="AF122" s="49">
        <f ca="1"/>
        <v>2.2326376704648863E-10</v>
      </c>
      <c r="AG122" s="49">
        <f ca="1"/>
        <v>1.3151546843516122E-9</v>
      </c>
      <c r="AH122" s="49">
        <f ca="1"/>
        <v>7.2930509625684983E-9</v>
      </c>
      <c r="AI122" s="49">
        <f ca="1"/>
        <v>3.821462405500499E-8</v>
      </c>
      <c r="AJ122" s="49">
        <f ca="1"/>
        <v>1.8985124288325255E-7</v>
      </c>
      <c r="AK122" s="49">
        <f ca="1"/>
        <v>8.9704255485513179E-7</v>
      </c>
      <c r="AL122" s="49">
        <f ca="1"/>
        <v>4.0426898344296215E-6</v>
      </c>
      <c r="AM122" s="49">
        <f ca="1"/>
        <v>1.7423235239226785E-5</v>
      </c>
      <c r="AN122" s="49">
        <f ca="1"/>
        <v>7.1985093226192035E-5</v>
      </c>
      <c r="AO122" s="49">
        <f ca="1"/>
        <v>2.8574986472715616E-4</v>
      </c>
      <c r="AP122" s="49">
        <f ca="1"/>
        <v>1.0920966774873144E-3</v>
      </c>
      <c r="AQ122" s="49">
        <f ca="1"/>
        <v>4.0262805265362852E-3</v>
      </c>
      <c r="AR122" s="49">
        <f ca="1"/>
        <v>1.4344704345532916E-2</v>
      </c>
      <c r="AS122" s="49">
        <f ca="1"/>
        <v>4.9470502957781055E-2</v>
      </c>
      <c r="AT122" s="49">
        <f ca="1"/>
        <v>0.16540220852996909</v>
      </c>
      <c r="AU122" s="49">
        <f ca="1"/>
        <v>0.5369136999913775</v>
      </c>
      <c r="AV122" s="49">
        <f ca="1"/>
        <v>0.15824003920406074</v>
      </c>
      <c r="AW122" s="49">
        <f ca="1"/>
        <v>4.7986948705435441E-2</v>
      </c>
      <c r="AX122" s="49">
        <f ca="1"/>
        <v>1.4954814653810699E-2</v>
      </c>
      <c r="AY122" s="49">
        <f ca="1"/>
        <v>4.7838798768570544E-3</v>
      </c>
      <c r="AZ122" s="49">
        <f ca="1"/>
        <v>1.5690695191274331E-3</v>
      </c>
      <c r="BA122" s="49">
        <f ca="1"/>
        <v>5.2712864585302479E-4</v>
      </c>
      <c r="BB122" s="49">
        <f ca="1"/>
        <v>1.81208098457848E-4</v>
      </c>
      <c r="BC122" s="49">
        <f ca="1"/>
        <v>6.3680485218228932E-5</v>
      </c>
      <c r="BD122" s="49">
        <f ca="1"/>
        <v>2.2849843246093033E-5</v>
      </c>
      <c r="BE122" s="49">
        <f ca="1"/>
        <v>8.3456924127225212E-6</v>
      </c>
      <c r="BF122" s="49">
        <f ca="1"/>
        <v>3.0531033157735726E-6</v>
      </c>
      <c r="BG122" s="49">
        <f ca="1"/>
        <v>1.0019996379925299E-6</v>
      </c>
    </row>
    <row r="123" spans="1:59" s="49" customFormat="1" x14ac:dyDescent="0.25">
      <c r="A123" s="26"/>
      <c r="H123" s="26">
        <f t="shared" si="97"/>
        <v>38</v>
      </c>
      <c r="K123" s="49">
        <f ca="1"/>
        <v>3.6381963998107276E-40</v>
      </c>
      <c r="L123" s="49">
        <f ca="1"/>
        <v>2.0194827421341001E-37</v>
      </c>
      <c r="M123" s="49">
        <f ca="1"/>
        <v>4.9955499307108639E-35</v>
      </c>
      <c r="N123" s="49">
        <f ca="1"/>
        <v>6.9822045391859141E-33</v>
      </c>
      <c r="O123" s="49">
        <f ca="1"/>
        <v>6.2846755045962679E-31</v>
      </c>
      <c r="P123" s="49">
        <f ca="1"/>
        <v>3.9595798445626955E-29</v>
      </c>
      <c r="Q123" s="49">
        <f ca="1"/>
        <v>1.8504289579500187E-27</v>
      </c>
      <c r="R123" s="49">
        <f ca="1"/>
        <v>6.6949144878075546E-26</v>
      </c>
      <c r="S123" s="49">
        <f ca="1"/>
        <v>1.9381840508847515E-24</v>
      </c>
      <c r="T123" s="49">
        <f ca="1"/>
        <v>4.6091979259806221E-23</v>
      </c>
      <c r="U123" s="49">
        <f ca="1"/>
        <v>9.1989910462159604E-22</v>
      </c>
      <c r="V123" s="49">
        <f ca="1"/>
        <v>1.568492755860449E-20</v>
      </c>
      <c r="W123" s="49">
        <f ca="1"/>
        <v>2.3195274374956963E-19</v>
      </c>
      <c r="X123" s="49">
        <f ca="1"/>
        <v>3.0136986874762238E-18</v>
      </c>
      <c r="Y123" s="49">
        <f ca="1"/>
        <v>3.4788860911653418E-17</v>
      </c>
      <c r="Z123" s="49">
        <f ca="1"/>
        <v>3.6030018984140156E-16</v>
      </c>
      <c r="AA123" s="49">
        <f ca="1"/>
        <v>3.376831912596324E-15</v>
      </c>
      <c r="AB123" s="49">
        <f ca="1"/>
        <v>2.8859378411995029E-14</v>
      </c>
      <c r="AC123" s="49">
        <f ca="1"/>
        <v>2.2643788640476103E-13</v>
      </c>
      <c r="AD123" s="49">
        <f ca="1"/>
        <v>1.6411189657896296E-12</v>
      </c>
      <c r="AE123" s="49">
        <f ca="1"/>
        <v>1.1046859229853421E-11</v>
      </c>
      <c r="AF123" s="49">
        <f ca="1"/>
        <v>6.9405500354681485E-11</v>
      </c>
      <c r="AG123" s="49">
        <f ca="1"/>
        <v>4.0883915074415313E-10</v>
      </c>
      <c r="AH123" s="49">
        <f ca="1"/>
        <v>2.2671741942966515E-9</v>
      </c>
      <c r="AI123" s="49">
        <f ca="1"/>
        <v>1.1879693415955839E-8</v>
      </c>
      <c r="AJ123" s="49">
        <f ca="1"/>
        <v>5.9018624829198609E-8</v>
      </c>
      <c r="AK123" s="49">
        <f ca="1"/>
        <v>2.7886158234622256E-7</v>
      </c>
      <c r="AL123" s="49">
        <f ca="1"/>
        <v>1.2567418101431039E-6</v>
      </c>
      <c r="AM123" s="49">
        <f ca="1"/>
        <v>5.4163215804025033E-6</v>
      </c>
      <c r="AN123" s="49">
        <f ca="1"/>
        <v>2.2377842493367662E-5</v>
      </c>
      <c r="AO123" s="49">
        <f ca="1"/>
        <v>8.8830411669714514E-5</v>
      </c>
      <c r="AP123" s="49">
        <f ca="1"/>
        <v>3.3949761459014301E-4</v>
      </c>
      <c r="AQ123" s="49">
        <f ca="1"/>
        <v>1.2516406858546565E-3</v>
      </c>
      <c r="AR123" s="49">
        <f ca="1"/>
        <v>4.4593056711005824E-3</v>
      </c>
      <c r="AS123" s="49">
        <f ca="1"/>
        <v>1.5378782934660447E-2</v>
      </c>
      <c r="AT123" s="49">
        <f ca="1"/>
        <v>5.1418209029866949E-2</v>
      </c>
      <c r="AU123" s="49">
        <f ca="1"/>
        <v>0.16690914288580255</v>
      </c>
      <c r="AV123" s="49">
        <f ca="1"/>
        <v>0.52674223110832941</v>
      </c>
      <c r="AW123" s="49">
        <f ca="1"/>
        <v>0.15973676796544534</v>
      </c>
      <c r="AX123" s="49">
        <f ca="1"/>
        <v>4.9780905491317896E-2</v>
      </c>
      <c r="AY123" s="49">
        <f ca="1"/>
        <v>1.5924361320717242E-2</v>
      </c>
      <c r="AZ123" s="49">
        <f ca="1"/>
        <v>5.2230471088511223E-3</v>
      </c>
      <c r="BA123" s="49">
        <f ca="1"/>
        <v>1.7546818137454646E-3</v>
      </c>
      <c r="BB123" s="49">
        <f ca="1"/>
        <v>6.0319726004046169E-4</v>
      </c>
      <c r="BC123" s="49">
        <f ca="1"/>
        <v>2.1197669711554344E-4</v>
      </c>
      <c r="BD123" s="49">
        <f ca="1"/>
        <v>7.606151687311873E-5</v>
      </c>
      <c r="BE123" s="49">
        <f ca="1"/>
        <v>2.7780760569405289E-5</v>
      </c>
      <c r="BF123" s="49">
        <f ca="1"/>
        <v>1.0163031179996957E-5</v>
      </c>
      <c r="BG123" s="49">
        <f ca="1"/>
        <v>3.3354107313212757E-6</v>
      </c>
    </row>
    <row r="124" spans="1:59" s="49" customFormat="1" x14ac:dyDescent="0.25">
      <c r="A124" s="26"/>
      <c r="H124" s="26">
        <f t="shared" si="97"/>
        <v>39</v>
      </c>
      <c r="K124" s="49">
        <f ca="1"/>
        <v>1.162130540614449E-40</v>
      </c>
      <c r="L124" s="49">
        <f ca="1"/>
        <v>6.4507308374004936E-38</v>
      </c>
      <c r="M124" s="49">
        <f ca="1"/>
        <v>1.5957030637338635E-35</v>
      </c>
      <c r="N124" s="49">
        <f ca="1"/>
        <v>2.2302900239874128E-33</v>
      </c>
      <c r="O124" s="49">
        <f ca="1"/>
        <v>2.0074818781423695E-31</v>
      </c>
      <c r="P124" s="49">
        <f ca="1"/>
        <v>1.2647884170318872E-29</v>
      </c>
      <c r="Q124" s="49">
        <f ca="1"/>
        <v>5.9107309472983948E-28</v>
      </c>
      <c r="R124" s="49">
        <f ca="1"/>
        <v>2.1385224265210268E-26</v>
      </c>
      <c r="S124" s="49">
        <f ca="1"/>
        <v>6.1910425698353688E-25</v>
      </c>
      <c r="T124" s="49">
        <f ca="1"/>
        <v>1.4722926111953501E-23</v>
      </c>
      <c r="U124" s="49">
        <f ca="1"/>
        <v>2.9383868441523898E-22</v>
      </c>
      <c r="V124" s="49">
        <f ca="1"/>
        <v>5.0101565006572463E-21</v>
      </c>
      <c r="W124" s="49">
        <f ca="1"/>
        <v>7.4091483215341424E-20</v>
      </c>
      <c r="X124" s="49">
        <f ca="1"/>
        <v>9.6265041796754102E-19</v>
      </c>
      <c r="Y124" s="49">
        <f ca="1"/>
        <v>1.1112428603558603E-17</v>
      </c>
      <c r="Z124" s="49">
        <f ca="1"/>
        <v>1.1508885403373487E-16</v>
      </c>
      <c r="AA124" s="49">
        <f ca="1"/>
        <v>1.0786442140269964E-15</v>
      </c>
      <c r="AB124" s="49">
        <f ca="1"/>
        <v>9.2184042173956113E-15</v>
      </c>
      <c r="AC124" s="49">
        <f ca="1"/>
        <v>7.2329900430017519E-14</v>
      </c>
      <c r="AD124" s="49">
        <f ca="1"/>
        <v>5.242142702974879E-13</v>
      </c>
      <c r="AE124" s="49">
        <f ca="1"/>
        <v>3.5286419637898457E-12</v>
      </c>
      <c r="AF124" s="49">
        <f ca="1"/>
        <v>2.2169845380804202E-11</v>
      </c>
      <c r="AG124" s="49">
        <f ca="1"/>
        <v>1.3059340702535264E-10</v>
      </c>
      <c r="AH124" s="49">
        <f ca="1"/>
        <v>7.2419190240036662E-10</v>
      </c>
      <c r="AI124" s="49">
        <f ca="1"/>
        <v>3.7946699448487436E-9</v>
      </c>
      <c r="AJ124" s="49">
        <f ca="1"/>
        <v>1.8852018649308238E-8</v>
      </c>
      <c r="AK124" s="49">
        <f ca="1"/>
        <v>8.9075334543642517E-8</v>
      </c>
      <c r="AL124" s="49">
        <f ca="1"/>
        <v>4.0143463374059938E-7</v>
      </c>
      <c r="AM124" s="49">
        <f ca="1"/>
        <v>1.7301080081059753E-6</v>
      </c>
      <c r="AN124" s="49">
        <f ca="1"/>
        <v>7.1480402201363501E-6</v>
      </c>
      <c r="AO124" s="49">
        <f ca="1"/>
        <v>2.8374645838828258E-5</v>
      </c>
      <c r="AP124" s="49">
        <f ca="1"/>
        <v>1.0844399340329297E-4</v>
      </c>
      <c r="AQ124" s="49">
        <f ca="1"/>
        <v>3.9980520759763931E-4</v>
      </c>
      <c r="AR124" s="49">
        <f ca="1"/>
        <v>1.424413291869235E-3</v>
      </c>
      <c r="AS124" s="49">
        <f ca="1"/>
        <v>4.912366283133858E-3</v>
      </c>
      <c r="AT124" s="49">
        <f ca="1"/>
        <v>1.6424256552069229E-2</v>
      </c>
      <c r="AU124" s="49">
        <f ca="1"/>
        <v>5.3314937166521054E-2</v>
      </c>
      <c r="AV124" s="49">
        <f ca="1"/>
        <v>0.16825458730986317</v>
      </c>
      <c r="AW124" s="49">
        <f ca="1"/>
        <v>0.51687854176538006</v>
      </c>
      <c r="AX124" s="49">
        <f ca="1"/>
        <v>0.16108177325635337</v>
      </c>
      <c r="AY124" s="49">
        <f ca="1"/>
        <v>5.152827844731335E-2</v>
      </c>
      <c r="AZ124" s="49">
        <f ca="1"/>
        <v>1.6900811300870029E-2</v>
      </c>
      <c r="BA124" s="49">
        <f ca="1"/>
        <v>5.6778247657244645E-3</v>
      </c>
      <c r="BB124" s="49">
        <f ca="1"/>
        <v>1.9518344094330965E-3</v>
      </c>
      <c r="BC124" s="49">
        <f ca="1"/>
        <v>6.8591725930641952E-4</v>
      </c>
      <c r="BD124" s="49">
        <f ca="1"/>
        <v>2.4612095528529212E-4</v>
      </c>
      <c r="BE124" s="49">
        <f ca="1"/>
        <v>8.9893386445339936E-5</v>
      </c>
      <c r="BF124" s="49">
        <f ca="1"/>
        <v>3.2885683134450735E-5</v>
      </c>
      <c r="BG124" s="49">
        <f ca="1"/>
        <v>1.0792770236636322E-5</v>
      </c>
    </row>
    <row r="125" spans="1:59" s="49" customFormat="1" x14ac:dyDescent="0.25">
      <c r="A125" s="26"/>
      <c r="H125" s="26">
        <f t="shared" si="97"/>
        <v>40</v>
      </c>
      <c r="K125" s="49">
        <f ca="1"/>
        <v>3.8098123229191855E-41</v>
      </c>
      <c r="L125" s="49">
        <f ca="1"/>
        <v>2.1147429636578672E-38</v>
      </c>
      <c r="M125" s="49">
        <f ca="1"/>
        <v>5.2311930402576551E-36</v>
      </c>
      <c r="N125" s="49">
        <f ca="1"/>
        <v>7.3115593473504179E-34</v>
      </c>
      <c r="O125" s="49">
        <f ca="1"/>
        <v>6.5811274466119639E-32</v>
      </c>
      <c r="P125" s="49">
        <f ca="1"/>
        <v>4.1463556190045647E-30</v>
      </c>
      <c r="Q125" s="49">
        <f ca="1"/>
        <v>1.9377148102975542E-28</v>
      </c>
      <c r="R125" s="49">
        <f ca="1"/>
        <v>7.0107176506101593E-27</v>
      </c>
      <c r="S125" s="49">
        <f ca="1"/>
        <v>2.0296093640052803E-25</v>
      </c>
      <c r="T125" s="49">
        <f ca="1"/>
        <v>4.8266165779527652E-24</v>
      </c>
      <c r="U125" s="49">
        <f ca="1"/>
        <v>9.6329130137449588E-23</v>
      </c>
      <c r="V125" s="49">
        <f ca="1"/>
        <v>1.6424795071529089E-21</v>
      </c>
      <c r="W125" s="49">
        <f ca="1"/>
        <v>2.4289409486469714E-20</v>
      </c>
      <c r="X125" s="49">
        <f ca="1"/>
        <v>3.1558566760468481E-19</v>
      </c>
      <c r="Y125" s="49">
        <f ca="1"/>
        <v>3.6429872507276936E-18</v>
      </c>
      <c r="Z125" s="49">
        <f ca="1"/>
        <v>3.7729576756200002E-17</v>
      </c>
      <c r="AA125" s="49">
        <f ca="1"/>
        <v>3.5361191148739328E-16</v>
      </c>
      <c r="AB125" s="49">
        <f ca="1"/>
        <v>3.0220692734324761E-15</v>
      </c>
      <c r="AC125" s="49">
        <f ca="1"/>
        <v>2.3711909836574883E-14</v>
      </c>
      <c r="AD125" s="49">
        <f ca="1"/>
        <v>1.7185315392997999E-13</v>
      </c>
      <c r="AE125" s="33">
        <f ca="1"/>
        <v>1.1567946256457896E-12</v>
      </c>
      <c r="AF125" s="33">
        <f ca="1"/>
        <v>7.2679399755162643E-12</v>
      </c>
      <c r="AG125" s="33">
        <f ca="1"/>
        <v>4.2812434058752883E-11</v>
      </c>
      <c r="AH125" s="33">
        <f ca="1"/>
        <v>2.3741181713238774E-10</v>
      </c>
      <c r="AI125" s="33">
        <f ca="1"/>
        <v>1.2440065734484545E-9</v>
      </c>
      <c r="AJ125" s="33">
        <f ca="1"/>
        <v>6.1802569033305225E-9</v>
      </c>
      <c r="AK125" s="49">
        <f ca="1"/>
        <v>2.9201565172970113E-8</v>
      </c>
      <c r="AL125" s="49">
        <f ca="1"/>
        <v>1.316023080903507E-7</v>
      </c>
      <c r="AM125" s="49">
        <f ca="1"/>
        <v>5.6718127429800365E-7</v>
      </c>
      <c r="AN125" s="49">
        <f ca="1"/>
        <v>2.3433418848969232E-6</v>
      </c>
      <c r="AO125" s="49">
        <f ca="1"/>
        <v>9.302059587736077E-6</v>
      </c>
      <c r="AP125" s="49">
        <f ca="1"/>
        <v>3.5551192226304324E-5</v>
      </c>
      <c r="AQ125" s="49">
        <f ca="1"/>
        <v>1.3106813334992488E-4</v>
      </c>
      <c r="AR125" s="49">
        <f ca="1"/>
        <v>4.6696538148150119E-4</v>
      </c>
      <c r="AS125" s="49">
        <f ca="1"/>
        <v>1.6104209420639501E-3</v>
      </c>
      <c r="AT125" s="49">
        <f ca="1"/>
        <v>5.3843637027020524E-3</v>
      </c>
      <c r="AU125" s="49">
        <f ca="1"/>
        <v>1.7478234803577155E-2</v>
      </c>
      <c r="AV125" s="49">
        <f ca="1"/>
        <v>5.5158898051321785E-2</v>
      </c>
      <c r="AW125" s="49">
        <f ca="1"/>
        <v>0.16944828218945784</v>
      </c>
      <c r="AX125" s="49">
        <f ca="1"/>
        <v>0.5073133600711891</v>
      </c>
      <c r="AY125" s="49">
        <f ca="1"/>
        <v>0.16228393535368113</v>
      </c>
      <c r="AZ125" s="49">
        <f ca="1"/>
        <v>5.3227669373420709E-2</v>
      </c>
      <c r="BA125" s="49">
        <f ca="1"/>
        <v>1.7881826736604291E-2</v>
      </c>
      <c r="BB125" s="49">
        <f ca="1"/>
        <v>6.1471366532340694E-3</v>
      </c>
      <c r="BC125" s="49">
        <f ca="1"/>
        <v>2.1602381356689961E-3</v>
      </c>
      <c r="BD125" s="49">
        <f ca="1"/>
        <v>7.7513703931607109E-4</v>
      </c>
      <c r="BE125" s="49">
        <f ca="1"/>
        <v>2.831115836624587E-4</v>
      </c>
      <c r="BF125" s="49">
        <f ca="1"/>
        <v>1.0357066520880637E-4</v>
      </c>
      <c r="BG125" s="49">
        <f ca="1"/>
        <v>3.3990912953947993E-5</v>
      </c>
    </row>
    <row r="126" spans="1:59" s="49" customFormat="1" x14ac:dyDescent="0.25">
      <c r="H126" s="26">
        <f t="shared" si="97"/>
        <v>41</v>
      </c>
      <c r="K126" s="49">
        <f ca="1"/>
        <v>1.2804143834349016E-41</v>
      </c>
      <c r="L126" s="49">
        <f ca="1"/>
        <v>7.1072984137458328E-39</v>
      </c>
      <c r="M126" s="49">
        <f ca="1"/>
        <v>1.7581167373982836E-36</v>
      </c>
      <c r="N126" s="49">
        <f ca="1"/>
        <v>2.4572931578194083E-34</v>
      </c>
      <c r="O126" s="49">
        <f ca="1"/>
        <v>2.2118071777886142E-32</v>
      </c>
      <c r="P126" s="49">
        <f ca="1"/>
        <v>1.3935209725348427E-30</v>
      </c>
      <c r="Q126" s="49">
        <f ca="1"/>
        <v>6.5123363142432927E-29</v>
      </c>
      <c r="R126" s="49">
        <f ca="1"/>
        <v>2.3561852808445033E-27</v>
      </c>
      <c r="S126" s="49">
        <f ca="1"/>
        <v>6.8211785835038085E-26</v>
      </c>
      <c r="T126" s="49">
        <f ca="1"/>
        <v>1.6221453357578318E-24</v>
      </c>
      <c r="U126" s="49">
        <f ca="1"/>
        <v>3.2374614106254829E-23</v>
      </c>
      <c r="V126" s="49">
        <f ca="1"/>
        <v>5.5200996983605584E-22</v>
      </c>
      <c r="W126" s="49">
        <f ca="1"/>
        <v>8.1632654407989003E-21</v>
      </c>
      <c r="X126" s="49">
        <f ca="1"/>
        <v>1.0606307968927104E-19</v>
      </c>
      <c r="Y126" s="49">
        <f ca="1"/>
        <v>1.2243472589031922E-18</v>
      </c>
      <c r="Z126" s="49">
        <f ca="1"/>
        <v>1.2680281511225083E-17</v>
      </c>
      <c r="AA126" s="49">
        <f ca="1"/>
        <v>1.1884306607403769E-16</v>
      </c>
      <c r="AB126" s="49">
        <f ca="1"/>
        <v>1.0156670821188077E-15</v>
      </c>
      <c r="AC126" s="49">
        <f ca="1"/>
        <v>7.9691774397428877E-15</v>
      </c>
      <c r="AD126" s="49">
        <f ca="1"/>
        <v>5.7756978947980119E-14</v>
      </c>
      <c r="AE126" s="49">
        <f ca="1"/>
        <v>3.8877938119065745E-13</v>
      </c>
      <c r="AF126" s="49">
        <f ca="1"/>
        <v>2.4426334144097771E-12</v>
      </c>
      <c r="AG126" s="49">
        <f ca="1"/>
        <v>1.438854508105602E-11</v>
      </c>
      <c r="AH126" s="49">
        <f ca="1"/>
        <v>7.9790152293067196E-11</v>
      </c>
      <c r="AI126" s="49">
        <f ca="1"/>
        <v>4.1808986236636614E-10</v>
      </c>
      <c r="AJ126" s="49">
        <f ca="1"/>
        <v>2.0770812737263296E-9</v>
      </c>
      <c r="AK126" s="49">
        <f ca="1"/>
        <v>9.81415904435767E-9</v>
      </c>
      <c r="AL126" s="49">
        <f ca="1"/>
        <v>4.4229340946380979E-8</v>
      </c>
      <c r="AM126" s="49">
        <f ca="1"/>
        <v>1.9062016710304634E-7</v>
      </c>
      <c r="AN126" s="49">
        <f ca="1"/>
        <v>7.8755812633532734E-7</v>
      </c>
      <c r="AO126" s="49">
        <f ca="1"/>
        <v>3.1262670919652163E-6</v>
      </c>
      <c r="AP126" s="49">
        <f ca="1"/>
        <v>1.1948162800822751E-5</v>
      </c>
      <c r="AQ126" s="49">
        <f ca="1"/>
        <v>4.4049813724844584E-5</v>
      </c>
      <c r="AR126" s="49">
        <f ca="1"/>
        <v>1.5693927688200274E-4</v>
      </c>
      <c r="AS126" s="49">
        <f ca="1"/>
        <v>5.412356207676654E-4</v>
      </c>
      <c r="AT126" s="49">
        <f ca="1"/>
        <v>1.8095948425359627E-3</v>
      </c>
      <c r="AU126" s="49">
        <f ca="1"/>
        <v>5.8741432235184157E-3</v>
      </c>
      <c r="AV126" s="49">
        <f ca="1"/>
        <v>1.8537985720308653E-2</v>
      </c>
      <c r="AW126" s="49">
        <f ca="1"/>
        <v>5.6948741663335786E-2</v>
      </c>
      <c r="AX126" s="49">
        <f ca="1"/>
        <v>0.17049955958096122</v>
      </c>
      <c r="AY126" s="49">
        <f ca="1"/>
        <v>0.49803733865351191</v>
      </c>
      <c r="AZ126" s="49">
        <f ca="1"/>
        <v>0.16335176208102828</v>
      </c>
      <c r="BA126" s="49">
        <f ca="1"/>
        <v>5.4877997497117026E-2</v>
      </c>
      <c r="BB126" s="49">
        <f ca="1"/>
        <v>1.8865105609152995E-2</v>
      </c>
      <c r="BC126" s="49">
        <f ca="1"/>
        <v>6.6296103160281578E-3</v>
      </c>
      <c r="BD126" s="49">
        <f ca="1"/>
        <v>2.3788379750058967E-3</v>
      </c>
      <c r="BE126" s="49">
        <f ca="1"/>
        <v>8.688484128877989E-4</v>
      </c>
      <c r="BF126" s="49">
        <f ca="1"/>
        <v>3.1785067542729976E-4</v>
      </c>
      <c r="BG126" s="49">
        <f ca="1"/>
        <v>1.0431558606890441E-4</v>
      </c>
    </row>
    <row r="127" spans="1:59" s="49" customFormat="1" x14ac:dyDescent="0.25">
      <c r="H127" s="26">
        <f t="shared" si="97"/>
        <v>42</v>
      </c>
      <c r="K127" s="49">
        <f ca="1"/>
        <v>4.4070028495684359E-42</v>
      </c>
      <c r="L127" s="49">
        <f ca="1"/>
        <v>2.4462302803945002E-39</v>
      </c>
      <c r="M127" s="49">
        <f ca="1"/>
        <v>6.0511859065523527E-37</v>
      </c>
      <c r="N127" s="49">
        <f ca="1"/>
        <v>8.4576509674031872E-35</v>
      </c>
      <c r="O127" s="49">
        <f ca="1"/>
        <v>7.6127233974530852E-33</v>
      </c>
      <c r="P127" s="49">
        <f ca="1"/>
        <v>4.7962995232993342E-31</v>
      </c>
      <c r="Q127" s="49">
        <f ca="1"/>
        <v>2.2414528503832089E-29</v>
      </c>
      <c r="R127" s="49">
        <f ca="1"/>
        <v>8.1096521416270527E-28</v>
      </c>
      <c r="S127" s="49">
        <f ca="1"/>
        <v>2.3477519343599919E-26</v>
      </c>
      <c r="T127" s="49">
        <f ca="1"/>
        <v>5.583191824135243E-25</v>
      </c>
      <c r="U127" s="49">
        <f ca="1"/>
        <v>1.1142878310785338E-23</v>
      </c>
      <c r="V127" s="49">
        <f ca="1"/>
        <v>1.8999392239968284E-22</v>
      </c>
      <c r="W127" s="49">
        <f ca="1"/>
        <v>2.8096790011741803E-21</v>
      </c>
      <c r="X127" s="49">
        <f ca="1"/>
        <v>3.6505392353582997E-20</v>
      </c>
      <c r="Y127" s="49">
        <f ca="1"/>
        <v>4.2140278402472335E-19</v>
      </c>
      <c r="Z127" s="49">
        <f ca="1"/>
        <v>4.3643712126528151E-18</v>
      </c>
      <c r="AA127" s="49">
        <f ca="1"/>
        <v>4.0904080555133956E-17</v>
      </c>
      <c r="AB127" s="49">
        <f ca="1"/>
        <v>3.4957805715230887E-16</v>
      </c>
      <c r="AC127" s="49">
        <f ca="1"/>
        <v>2.7428766921102738E-15</v>
      </c>
      <c r="AD127" s="49">
        <f ca="1"/>
        <v>1.987912460990825E-14</v>
      </c>
      <c r="AE127" s="49">
        <f ca="1"/>
        <v>1.3381229256144089E-13</v>
      </c>
      <c r="AF127" s="49">
        <f ca="1"/>
        <v>8.4071942310403292E-13</v>
      </c>
      <c r="AG127" s="49">
        <f ca="1"/>
        <v>4.9523310573292746E-12</v>
      </c>
      <c r="AH127" s="49">
        <f ca="1"/>
        <v>2.7462627183219568E-11</v>
      </c>
      <c r="AI127" s="49">
        <f ca="1"/>
        <v>1.4390054022053456E-10</v>
      </c>
      <c r="AJ127" s="49">
        <f ca="1"/>
        <v>7.1490161392447044E-10</v>
      </c>
      <c r="AK127" s="49">
        <f ca="1"/>
        <v>3.3778929254586153E-9</v>
      </c>
      <c r="AL127" s="49">
        <f ca="1"/>
        <v>1.5223105434221707E-8</v>
      </c>
      <c r="AM127" s="49">
        <f ca="1"/>
        <v>6.5608730304539475E-8</v>
      </c>
      <c r="AN127" s="49">
        <f ca="1"/>
        <v>2.7106622292462123E-7</v>
      </c>
      <c r="AO127" s="49">
        <f ca="1"/>
        <v>1.0760163397917031E-6</v>
      </c>
      <c r="AP127" s="49">
        <f ca="1"/>
        <v>4.1123864423544684E-6</v>
      </c>
      <c r="AQ127" s="49">
        <f ca="1"/>
        <v>1.5161314736841101E-5</v>
      </c>
      <c r="AR127" s="49">
        <f ca="1"/>
        <v>5.4016250471413066E-5</v>
      </c>
      <c r="AS127" s="49">
        <f ca="1"/>
        <v>1.8628554582558789E-4</v>
      </c>
      <c r="AT127" s="49">
        <f ca="1"/>
        <v>6.2283661686355826E-4</v>
      </c>
      <c r="AU127" s="49">
        <f ca="1"/>
        <v>2.0217959326083224E-3</v>
      </c>
      <c r="AV127" s="49">
        <f ca="1"/>
        <v>6.3805090720314298E-3</v>
      </c>
      <c r="AW127" s="49">
        <f ca="1"/>
        <v>1.9600940916985363E-2</v>
      </c>
      <c r="AX127" s="49">
        <f ca="1"/>
        <v>5.8683505484196347E-2</v>
      </c>
      <c r="AY127" s="49">
        <f ca="1"/>
        <v>0.17141731606837235</v>
      </c>
      <c r="AZ127" s="49">
        <f ca="1"/>
        <v>0.48904109394797857</v>
      </c>
      <c r="BA127" s="49">
        <f ca="1"/>
        <v>0.164293274757282</v>
      </c>
      <c r="BB127" s="49">
        <f ca="1"/>
        <v>5.6478190176901776E-2</v>
      </c>
      <c r="BC127" s="49">
        <f ca="1"/>
        <v>1.9847670083846365E-2</v>
      </c>
      <c r="BD127" s="49">
        <f ca="1"/>
        <v>7.1217445762526577E-3</v>
      </c>
      <c r="BE127" s="49">
        <f ca="1"/>
        <v>2.6011508715948063E-3</v>
      </c>
      <c r="BF127" s="49">
        <f ca="1"/>
        <v>9.5157860584305033E-4</v>
      </c>
      <c r="BG127" s="49">
        <f ca="1"/>
        <v>3.122991002794109E-4</v>
      </c>
    </row>
    <row r="128" spans="1:59" s="49" customFormat="1" x14ac:dyDescent="0.25">
      <c r="H128" s="26">
        <f t="shared" si="97"/>
        <v>43</v>
      </c>
      <c r="K128" s="49">
        <f ca="1"/>
        <v>1.5518727014538755E-42</v>
      </c>
      <c r="L128" s="49">
        <f ca="1"/>
        <v>8.6141037870802326E-40</v>
      </c>
      <c r="M128" s="49">
        <f ca="1"/>
        <v>2.1308518601753607E-37</v>
      </c>
      <c r="N128" s="49">
        <f ca="1"/>
        <v>2.9782593982264564E-35</v>
      </c>
      <c r="O128" s="49">
        <f ca="1"/>
        <v>2.6807283833237254E-33</v>
      </c>
      <c r="P128" s="49">
        <f ca="1"/>
        <v>1.6889588122080217E-31</v>
      </c>
      <c r="Q128" s="49">
        <f ca="1"/>
        <v>7.8930048580438603E-30</v>
      </c>
      <c r="R128" s="49">
        <f ca="1"/>
        <v>2.8557158246699125E-28</v>
      </c>
      <c r="S128" s="49">
        <f ca="1"/>
        <v>8.2673242134971399E-27</v>
      </c>
      <c r="T128" s="49">
        <f ca="1"/>
        <v>1.9660534096782867E-25</v>
      </c>
      <c r="U128" s="49">
        <f ca="1"/>
        <v>3.9238296993213029E-24</v>
      </c>
      <c r="V128" s="49">
        <f ca="1"/>
        <v>6.6904059670187676E-23</v>
      </c>
      <c r="W128" s="49">
        <f ca="1"/>
        <v>9.8939444575067357E-22</v>
      </c>
      <c r="X128" s="49">
        <f ca="1"/>
        <v>1.2854931976033604E-20</v>
      </c>
      <c r="Y128" s="49">
        <f ca="1"/>
        <v>1.4839188881138846E-19</v>
      </c>
      <c r="Z128" s="49">
        <f ca="1"/>
        <v>1.5368604866208119E-18</v>
      </c>
      <c r="AA128" s="49">
        <f ca="1"/>
        <v>1.440387677484685E-17</v>
      </c>
      <c r="AB128" s="49">
        <f ca="1"/>
        <v>1.230996807671854E-16</v>
      </c>
      <c r="AC128" s="49">
        <f ca="1"/>
        <v>9.6587082133538365E-16</v>
      </c>
      <c r="AD128" s="49">
        <f ca="1"/>
        <v>7.0001930708843463E-15</v>
      </c>
      <c r="AE128" s="49">
        <f ca="1"/>
        <v>4.7120378868235831E-14</v>
      </c>
      <c r="AF128" s="49">
        <f ca="1"/>
        <v>2.9604916693552022E-13</v>
      </c>
      <c r="AG128" s="49">
        <f ca="1"/>
        <v>1.7439034279689916E-12</v>
      </c>
      <c r="AH128" s="49">
        <f ca="1"/>
        <v>9.6706316947394497E-12</v>
      </c>
      <c r="AI128" s="49">
        <f ca="1"/>
        <v>5.0672833151124836E-11</v>
      </c>
      <c r="AJ128" s="49">
        <f ca="1"/>
        <v>2.51743948607464E-10</v>
      </c>
      <c r="AK128" s="49">
        <f ca="1"/>
        <v>1.1894841002807008E-9</v>
      </c>
      <c r="AL128" s="49">
        <f ca="1"/>
        <v>5.3606322848273778E-9</v>
      </c>
      <c r="AM128" s="49">
        <f ca="1"/>
        <v>2.3103320104872404E-8</v>
      </c>
      <c r="AN128" s="49">
        <f ca="1"/>
        <v>9.5452688823226961E-8</v>
      </c>
      <c r="AO128" s="49">
        <f ca="1"/>
        <v>3.789061275974859E-7</v>
      </c>
      <c r="AP128" s="49">
        <f ca="1"/>
        <v>1.4481271003362024E-6</v>
      </c>
      <c r="AQ128" s="49">
        <f ca="1"/>
        <v>5.3388734387948306E-6</v>
      </c>
      <c r="AR128" s="49">
        <f ca="1"/>
        <v>1.9021168672420947E-5</v>
      </c>
      <c r="AS128" s="49">
        <f ca="1"/>
        <v>6.5598199753938126E-5</v>
      </c>
      <c r="AT128" s="49">
        <f ca="1"/>
        <v>2.1932437444897388E-4</v>
      </c>
      <c r="AU128" s="49">
        <f ca="1"/>
        <v>7.1195096141873102E-4</v>
      </c>
      <c r="AV128" s="49">
        <f ca="1"/>
        <v>2.2468190260494206E-3</v>
      </c>
      <c r="AW128" s="49">
        <f ca="1"/>
        <v>6.9022340511666891E-3</v>
      </c>
      <c r="AX128" s="49">
        <f ca="1"/>
        <v>2.0664686022488332E-2</v>
      </c>
      <c r="AY128" s="49">
        <f ca="1"/>
        <v>6.0362532642575475E-2</v>
      </c>
      <c r="AZ128" s="49">
        <f ca="1"/>
        <v>0.17220990080851153</v>
      </c>
      <c r="BA128" s="49">
        <f ca="1"/>
        <v>0.48031497823869818</v>
      </c>
      <c r="BB128" s="49">
        <f ca="1"/>
        <v>0.16511522291984304</v>
      </c>
      <c r="BC128" s="49">
        <f ca="1"/>
        <v>5.8025097122784017E-2</v>
      </c>
      <c r="BD128" s="49">
        <f ca="1"/>
        <v>2.0820575864823991E-2</v>
      </c>
      <c r="BE128" s="49">
        <f ca="1"/>
        <v>7.6045214031516782E-3</v>
      </c>
      <c r="BF128" s="49">
        <f ca="1"/>
        <v>2.7819608443081282E-3</v>
      </c>
      <c r="BG128" s="49">
        <f ca="1"/>
        <v>9.1301324278960933E-4</v>
      </c>
    </row>
    <row r="129" spans="7:59" s="49" customFormat="1" x14ac:dyDescent="0.25">
      <c r="H129" s="26">
        <f t="shared" si="97"/>
        <v>44</v>
      </c>
      <c r="K129" s="49">
        <f ca="1"/>
        <v>5.5858017877424593E-43</v>
      </c>
      <c r="L129" s="49">
        <f ca="1"/>
        <v>3.1005556247360781E-40</v>
      </c>
      <c r="M129" s="49">
        <f ca="1"/>
        <v>7.6697760833288558E-38</v>
      </c>
      <c r="N129" s="49">
        <f ca="1"/>
        <v>1.0719929962933607E-35</v>
      </c>
      <c r="O129" s="49">
        <f ca="1"/>
        <v>9.6489985177219618E-34</v>
      </c>
      <c r="P129" s="49">
        <f ca="1"/>
        <v>6.0792287562095187E-32</v>
      </c>
      <c r="Q129" s="49">
        <f ca="1"/>
        <v>2.8410036857673092E-30</v>
      </c>
      <c r="R129" s="49">
        <f ca="1"/>
        <v>1.0278847320261168E-28</v>
      </c>
      <c r="S129" s="49">
        <f ca="1"/>
        <v>2.9757359819742528E-27</v>
      </c>
      <c r="T129" s="49">
        <f ca="1"/>
        <v>7.0766014765835079E-26</v>
      </c>
      <c r="U129" s="49">
        <f ca="1"/>
        <v>1.4123410334322017E-24</v>
      </c>
      <c r="V129" s="49">
        <f ca="1"/>
        <v>2.4081409239485225E-23</v>
      </c>
      <c r="W129" s="49">
        <f ca="1"/>
        <v>3.5612207487630927E-22</v>
      </c>
      <c r="X129" s="49">
        <f ca="1"/>
        <v>4.626996914486958E-21</v>
      </c>
      <c r="Y129" s="49">
        <f ca="1"/>
        <v>5.3412092179506009E-20</v>
      </c>
      <c r="Z129" s="49">
        <f ca="1"/>
        <v>5.5317669069342979E-19</v>
      </c>
      <c r="AA129" s="49">
        <f ca="1"/>
        <v>5.1845232256476391E-18</v>
      </c>
      <c r="AB129" s="49">
        <f ca="1"/>
        <v>4.4308429180800778E-17</v>
      </c>
      <c r="AC129" s="49">
        <f ca="1"/>
        <v>3.4765499486452677E-16</v>
      </c>
      <c r="AD129" s="49">
        <f ca="1"/>
        <v>2.5196455181701214E-15</v>
      </c>
      <c r="AE129" s="49">
        <f ca="1"/>
        <v>1.6960482407784444E-14</v>
      </c>
      <c r="AF129" s="49">
        <f ca="1"/>
        <v>1.0655976900546344E-13</v>
      </c>
      <c r="AG129" s="49">
        <f ca="1"/>
        <v>6.2769960941212682E-13</v>
      </c>
      <c r="AH129" s="49">
        <f ca="1"/>
        <v>3.4808416797632571E-12</v>
      </c>
      <c r="AI129" s="49">
        <f ca="1"/>
        <v>1.82391507847489E-11</v>
      </c>
      <c r="AJ129" s="49">
        <f ca="1"/>
        <v>9.0612573883639053E-11</v>
      </c>
      <c r="AK129" s="49">
        <f ca="1"/>
        <v>4.2814223148680399E-10</v>
      </c>
      <c r="AL129" s="49">
        <f ca="1"/>
        <v>1.9295029400263398E-9</v>
      </c>
      <c r="AM129" s="49">
        <f ca="1"/>
        <v>8.3157959170028109E-9</v>
      </c>
      <c r="AN129" s="49">
        <f ca="1"/>
        <v>3.4357186602618574E-8</v>
      </c>
      <c r="AO129" s="49">
        <f ca="1"/>
        <v>1.3638325636746922E-7</v>
      </c>
      <c r="AP129" s="49">
        <f ca="1"/>
        <v>5.2123804603032911E-7</v>
      </c>
      <c r="AQ129" s="49">
        <f ca="1"/>
        <v>1.9216710733433348E-6</v>
      </c>
      <c r="AR129" s="49">
        <f ca="1"/>
        <v>6.8464686488666674E-6</v>
      </c>
      <c r="AS129" s="49">
        <f ca="1"/>
        <v>2.3611378762894314E-5</v>
      </c>
      <c r="AT129" s="49">
        <f ca="1"/>
        <v>7.8943490773749351E-5</v>
      </c>
      <c r="AU129" s="49">
        <f ca="1"/>
        <v>2.562592247000685E-4</v>
      </c>
      <c r="AV129" s="49">
        <f ca="1"/>
        <v>8.0871876415397116E-4</v>
      </c>
      <c r="AW129" s="49">
        <f ca="1"/>
        <v>2.4843862042488334E-3</v>
      </c>
      <c r="AX129" s="49">
        <f ca="1"/>
        <v>7.4380353504132253E-3</v>
      </c>
      <c r="AY129" s="49">
        <f ca="1"/>
        <v>2.1726855716430814E-2</v>
      </c>
      <c r="AZ129" s="49">
        <f ca="1"/>
        <v>6.1985133890295814E-2</v>
      </c>
      <c r="BA129" s="49">
        <f ca="1"/>
        <v>0.17288430047204764</v>
      </c>
      <c r="BB129" s="49">
        <f ca="1"/>
        <v>0.4718469410556228</v>
      </c>
      <c r="BC129" s="49">
        <f ca="1"/>
        <v>0.16581732500299179</v>
      </c>
      <c r="BD129" s="49">
        <f ca="1"/>
        <v>5.9498602606756344E-2</v>
      </c>
      <c r="BE129" s="49">
        <f ca="1"/>
        <v>2.173131040746647E-2</v>
      </c>
      <c r="BF129" s="49">
        <f ca="1"/>
        <v>7.9499617982561957E-3</v>
      </c>
      <c r="BG129" s="49">
        <f ca="1"/>
        <v>2.6091022870900855E-3</v>
      </c>
    </row>
    <row r="130" spans="7:59" s="49" customFormat="1" x14ac:dyDescent="0.25">
      <c r="H130" s="26">
        <f t="shared" si="97"/>
        <v>45</v>
      </c>
      <c r="K130" s="49">
        <f ca="1"/>
        <v>2.053212767231719E-43</v>
      </c>
      <c r="L130" s="49">
        <f ca="1"/>
        <v>1.1396932143546643E-40</v>
      </c>
      <c r="M130" s="49">
        <f ca="1"/>
        <v>2.8192339747278846E-38</v>
      </c>
      <c r="N130" s="49">
        <f ca="1"/>
        <v>3.9404006622692467E-36</v>
      </c>
      <c r="O130" s="49">
        <f ca="1"/>
        <v>3.5467507978999734E-34</v>
      </c>
      <c r="P130" s="49">
        <f ca="1"/>
        <v>2.2345852164969597E-32</v>
      </c>
      <c r="Q130" s="49">
        <f ca="1"/>
        <v>1.0442878678885835E-30</v>
      </c>
      <c r="R130" s="49">
        <f ca="1"/>
        <v>3.7782687879648827E-29</v>
      </c>
      <c r="S130" s="49">
        <f ca="1"/>
        <v>1.0938123732760806E-27</v>
      </c>
      <c r="T130" s="49">
        <f ca="1"/>
        <v>2.601196578836071E-26</v>
      </c>
      <c r="U130" s="49">
        <f ca="1"/>
        <v>5.1914420735294767E-25</v>
      </c>
      <c r="V130" s="49">
        <f ca="1"/>
        <v>8.8517743346969339E-24</v>
      </c>
      <c r="W130" s="49">
        <f ca="1"/>
        <v>1.3090231601730459E-22</v>
      </c>
      <c r="X130" s="49">
        <f ca="1"/>
        <v>1.7007780619093482E-21</v>
      </c>
      <c r="Y130" s="49">
        <f ca="1"/>
        <v>1.9633061421580022E-20</v>
      </c>
      <c r="Z130" s="49">
        <f ca="1"/>
        <v>2.0333507829782462E-19</v>
      </c>
      <c r="AA130" s="49">
        <f ca="1"/>
        <v>1.9057119610417345E-18</v>
      </c>
      <c r="AB130" s="49">
        <f ca="1"/>
        <v>1.6286763466909674E-17</v>
      </c>
      <c r="AC130" s="49">
        <f ca="1"/>
        <v>1.2779001138459932E-16</v>
      </c>
      <c r="AD130" s="49">
        <f ca="1"/>
        <v>9.2616396775080109E-16</v>
      </c>
      <c r="AE130" s="49">
        <f ca="1"/>
        <v>6.2342847708074756E-15</v>
      </c>
      <c r="AF130" s="49">
        <f ca="1"/>
        <v>3.9168929816914575E-14</v>
      </c>
      <c r="AG130" s="49">
        <f ca="1"/>
        <v>2.307279959091101E-13</v>
      </c>
      <c r="AH130" s="49">
        <f ca="1"/>
        <v>1.279477655882003E-12</v>
      </c>
      <c r="AI130" s="49">
        <f ca="1"/>
        <v>6.7042939720648568E-12</v>
      </c>
      <c r="AJ130" s="49">
        <f ca="1"/>
        <v>3.3307106238155162E-11</v>
      </c>
      <c r="AK130" s="49">
        <f ca="1"/>
        <v>1.5737527561554686E-10</v>
      </c>
      <c r="AL130" s="49">
        <f ca="1"/>
        <v>7.0924107610956958E-10</v>
      </c>
      <c r="AM130" s="49">
        <f ca="1"/>
        <v>3.056696065361852E-9</v>
      </c>
      <c r="AN130" s="49">
        <f ca="1"/>
        <v>1.2628914676753921E-8</v>
      </c>
      <c r="AO130" s="49">
        <f ca="1"/>
        <v>5.0131360519238558E-8</v>
      </c>
      <c r="AP130" s="49">
        <f ca="1"/>
        <v>1.9159516422957788E-7</v>
      </c>
      <c r="AQ130" s="49">
        <f ca="1"/>
        <v>7.0636226134387391E-7</v>
      </c>
      <c r="AR130" s="49">
        <f ca="1"/>
        <v>2.51660502367845E-6</v>
      </c>
      <c r="AS130" s="49">
        <f ca="1"/>
        <v>8.6790018998349878E-6</v>
      </c>
      <c r="AT130" s="49">
        <f ca="1"/>
        <v>2.9017818624031501E-5</v>
      </c>
      <c r="AU130" s="49">
        <f ca="1"/>
        <v>9.4195020136532946E-5</v>
      </c>
      <c r="AV130" s="49">
        <f ca="1"/>
        <v>2.9726649006854257E-4</v>
      </c>
      <c r="AW130" s="49">
        <f ca="1"/>
        <v>9.1320345173931589E-4</v>
      </c>
      <c r="AX130" s="49">
        <f ca="1"/>
        <v>2.7340513904560724E-3</v>
      </c>
      <c r="AY130" s="49">
        <f ca="1"/>
        <v>7.9862944021160103E-3</v>
      </c>
      <c r="AZ130" s="49">
        <f ca="1"/>
        <v>2.2784315147272596E-2</v>
      </c>
      <c r="BA130" s="49">
        <f ca="1"/>
        <v>6.3548308098235584E-2</v>
      </c>
      <c r="BB130" s="49">
        <f ca="1"/>
        <v>0.17344012558422436</v>
      </c>
      <c r="BC130" s="49">
        <f ca="1"/>
        <v>0.46360674024759291</v>
      </c>
      <c r="BD130" s="49">
        <f ca="1"/>
        <v>0.16635145454980385</v>
      </c>
      <c r="BE130" s="49">
        <f ca="1"/>
        <v>6.0758319307903097E-2</v>
      </c>
      <c r="BF130" s="49">
        <f ca="1"/>
        <v>2.2227206200051457E-2</v>
      </c>
      <c r="BG130" s="49">
        <f ca="1"/>
        <v>7.2947588936713905E-3</v>
      </c>
    </row>
    <row r="131" spans="7:59" s="49" customFormat="1" x14ac:dyDescent="0.25">
      <c r="H131" s="26">
        <f t="shared" si="97"/>
        <v>46</v>
      </c>
      <c r="K131" s="49">
        <f ca="1"/>
        <v>7.6984173777490254E-44</v>
      </c>
      <c r="L131" s="49">
        <f ca="1"/>
        <v>4.2732220385128774E-41</v>
      </c>
      <c r="M131" s="49">
        <f ca="1"/>
        <v>1.0570575134425998E-38</v>
      </c>
      <c r="N131" s="49">
        <f ca="1"/>
        <v>1.4774332898098451E-36</v>
      </c>
      <c r="O131" s="37">
        <f ca="1"/>
        <v>1.3298362650409574E-34</v>
      </c>
      <c r="P131" s="49">
        <f ca="1"/>
        <v>8.3784641987859872E-33</v>
      </c>
      <c r="Q131" s="49">
        <f ca="1"/>
        <v>3.915504519468367E-31</v>
      </c>
      <c r="R131" s="49">
        <f ca="1"/>
        <v>1.4166427639300261E-29</v>
      </c>
      <c r="S131" s="49">
        <f ca="1"/>
        <v>4.1011941464686776E-28</v>
      </c>
      <c r="T131" s="49">
        <f ca="1"/>
        <v>9.7530549512665075E-27</v>
      </c>
      <c r="U131" s="49">
        <f ca="1"/>
        <v>1.9465049366667188E-25</v>
      </c>
      <c r="V131" s="49">
        <f ca="1"/>
        <v>3.3189279966352901E-24</v>
      </c>
      <c r="W131" s="49">
        <f ca="1"/>
        <v>4.9081161022289791E-23</v>
      </c>
      <c r="X131" s="49">
        <f ca="1"/>
        <v>6.376981283411027E-22</v>
      </c>
      <c r="Y131" s="49">
        <f ca="1"/>
        <v>7.3613170363287567E-21</v>
      </c>
      <c r="Z131" s="49">
        <f ca="1"/>
        <v>7.6239458728110985E-20</v>
      </c>
      <c r="AA131" s="49">
        <f ca="1"/>
        <v>7.1453705685106638E-19</v>
      </c>
      <c r="AB131" s="49">
        <f ca="1"/>
        <v>6.1066395505612565E-18</v>
      </c>
      <c r="AC131" s="49">
        <f ca="1"/>
        <v>4.79142181485821E-17</v>
      </c>
      <c r="AD131" s="49">
        <f ca="1"/>
        <v>3.4726049329952789E-16</v>
      </c>
      <c r="AE131" s="49">
        <f ca="1"/>
        <v>2.3375135292057099E-15</v>
      </c>
      <c r="AF131" s="49">
        <f ca="1"/>
        <v>1.4686192039265475E-14</v>
      </c>
      <c r="AG131" s="49">
        <f ca="1"/>
        <v>8.6510294577738641E-14</v>
      </c>
      <c r="AH131" s="37">
        <f ca="1"/>
        <v>4.7973367288982784E-13</v>
      </c>
      <c r="AI131" s="49">
        <f ca="1"/>
        <v>2.5137411009609859E-12</v>
      </c>
      <c r="AJ131" s="49">
        <f ca="1"/>
        <v>1.2488330949356935E-11</v>
      </c>
      <c r="AK131" s="49">
        <f ca="1"/>
        <v>5.9007063269933296E-11</v>
      </c>
      <c r="AL131" s="49">
        <f ca="1"/>
        <v>2.6592635271292018E-10</v>
      </c>
      <c r="AM131" s="49">
        <f ca="1"/>
        <v>1.1460927227627665E-9</v>
      </c>
      <c r="AN131" s="49">
        <f ca="1"/>
        <v>4.7351476554821104E-9</v>
      </c>
      <c r="AO131" s="49">
        <f ca="1"/>
        <v>1.8796499960978101E-8</v>
      </c>
      <c r="AP131" s="49">
        <f ca="1"/>
        <v>7.1837637352427359E-8</v>
      </c>
      <c r="AQ131" s="49">
        <f ca="1"/>
        <v>2.6484695568338418E-7</v>
      </c>
      <c r="AR131" s="49">
        <f ca="1"/>
        <v>9.4358831955530129E-7</v>
      </c>
      <c r="AS131" s="49">
        <f ca="1"/>
        <v>3.2541478464158602E-6</v>
      </c>
      <c r="AT131" s="49">
        <f ca="1"/>
        <v>1.0880084262324393E-5</v>
      </c>
      <c r="AU131" s="49">
        <f ca="1"/>
        <v>3.5317946171463011E-5</v>
      </c>
      <c r="AV131" s="49">
        <f ca="1"/>
        <v>1.1145856627667539E-4</v>
      </c>
      <c r="AW131" s="49">
        <f ca="1"/>
        <v>3.4240101340149784E-4</v>
      </c>
      <c r="AX131" s="49">
        <f ca="1"/>
        <v>1.0251187344955039E-3</v>
      </c>
      <c r="AY131" s="49">
        <f ca="1"/>
        <v>2.9944206752602477E-3</v>
      </c>
      <c r="AZ131" s="49">
        <f ca="1"/>
        <v>8.5428636753688315E-3</v>
      </c>
      <c r="BA131" s="37">
        <f ca="1"/>
        <v>2.3827116565693651E-2</v>
      </c>
      <c r="BB131" s="49">
        <f ca="1"/>
        <v>6.5030497477219243E-2</v>
      </c>
      <c r="BC131" s="49">
        <f ca="1"/>
        <v>0.17382700139623949</v>
      </c>
      <c r="BD131" s="49">
        <f ca="1"/>
        <v>0.45543611918310489</v>
      </c>
      <c r="BE131" s="49">
        <f ca="1"/>
        <v>0.16634380041080277</v>
      </c>
      <c r="BF131" s="49">
        <f ca="1"/>
        <v>6.0853525804328595E-2</v>
      </c>
      <c r="BG131" s="49">
        <f ca="1"/>
        <v>1.9971551736059381E-2</v>
      </c>
    </row>
    <row r="132" spans="7:59" s="49" customFormat="1" x14ac:dyDescent="0.25">
      <c r="H132" s="26">
        <f t="shared" si="97"/>
        <v>47</v>
      </c>
      <c r="K132" s="49">
        <f ca="1"/>
        <v>2.935355154681815E-44</v>
      </c>
      <c r="L132" s="49">
        <f ca="1"/>
        <v>1.6293510370200708E-41</v>
      </c>
      <c r="M132" s="49">
        <f ca="1"/>
        <v>4.0304897339641646E-39</v>
      </c>
      <c r="N132" s="49">
        <f ca="1"/>
        <v>5.633354506702382E-37</v>
      </c>
      <c r="O132" s="49">
        <f ca="1"/>
        <v>5.0705769042262049E-35</v>
      </c>
      <c r="P132" s="49">
        <f ca="1"/>
        <v>3.1946524678315863E-33</v>
      </c>
      <c r="Q132" s="49">
        <f ca="1"/>
        <v>1.4929557349827687E-31</v>
      </c>
      <c r="R132" s="49">
        <f ca="1"/>
        <v>5.4015642896469902E-30</v>
      </c>
      <c r="S132" s="49">
        <f ca="1"/>
        <v>1.5637579501707533E-28</v>
      </c>
      <c r="T132" s="49">
        <f ca="1"/>
        <v>3.7187747455524438E-27</v>
      </c>
      <c r="U132" s="49">
        <f ca="1"/>
        <v>7.4218933828824211E-26</v>
      </c>
      <c r="V132" s="49">
        <f ca="1"/>
        <v>1.2654850893249132E-24</v>
      </c>
      <c r="W132" s="49">
        <f ca="1"/>
        <v>1.8714319052245513E-23</v>
      </c>
      <c r="X132" s="49">
        <f ca="1"/>
        <v>2.4315003932721639E-22</v>
      </c>
      <c r="Y132" s="49">
        <f ca="1"/>
        <v>2.8068210448408763E-21</v>
      </c>
      <c r="Z132" s="49">
        <f ca="1"/>
        <v>2.9069596669899836E-20</v>
      </c>
      <c r="AA132" s="49">
        <f ca="1"/>
        <v>2.7244820982312408E-19</v>
      </c>
      <c r="AB132" s="49">
        <f ca="1"/>
        <v>2.328420895226266E-18</v>
      </c>
      <c r="AC132" s="49">
        <f ca="1"/>
        <v>1.8269371524529285E-17</v>
      </c>
      <c r="AD132" s="49">
        <f ca="1"/>
        <v>1.3240810792752397E-16</v>
      </c>
      <c r="AE132" s="49">
        <f ca="1"/>
        <v>8.9127830441153685E-16</v>
      </c>
      <c r="AF132" s="49">
        <f ca="1"/>
        <v>5.5997469856213282E-15</v>
      </c>
      <c r="AG132" s="49">
        <f ca="1"/>
        <v>3.298579781550602E-14</v>
      </c>
      <c r="AH132" s="49">
        <f ca="1"/>
        <v>1.8291924696908842E-13</v>
      </c>
      <c r="AI132" s="49">
        <f ca="1"/>
        <v>9.584727010993614E-13</v>
      </c>
      <c r="AJ132" s="49">
        <f ca="1"/>
        <v>4.761717224051812E-12</v>
      </c>
      <c r="AK132" s="49">
        <f ca="1"/>
        <v>2.2498999318049359E-11</v>
      </c>
      <c r="AL132" s="49">
        <f ca="1"/>
        <v>1.0139594307497062E-10</v>
      </c>
      <c r="AM132" s="49">
        <f ca="1"/>
        <v>4.3699750434792271E-10</v>
      </c>
      <c r="AN132" s="49">
        <f ca="1"/>
        <v>1.8054801911458607E-9</v>
      </c>
      <c r="AO132" s="49">
        <f ca="1"/>
        <v>7.1669799574528013E-9</v>
      </c>
      <c r="AP132" s="49">
        <f ca="1"/>
        <v>2.7391211564092604E-8</v>
      </c>
      <c r="AQ132" s="49">
        <f ca="1"/>
        <v>1.0098437619321719E-7</v>
      </c>
      <c r="AR132" s="49">
        <f ca="1"/>
        <v>3.5978392724064927E-7</v>
      </c>
      <c r="AS132" s="49">
        <f ca="1"/>
        <v>1.2407848504917642E-6</v>
      </c>
      <c r="AT132" s="49">
        <f ca="1"/>
        <v>4.1485034982767561E-6</v>
      </c>
      <c r="AU132" s="49">
        <f ca="1"/>
        <v>1.3466497107161468E-5</v>
      </c>
      <c r="AV132" s="49">
        <f ca="1"/>
        <v>4.249840726995587E-5</v>
      </c>
      <c r="AW132" s="49">
        <f ca="1"/>
        <v>1.305552206822853E-4</v>
      </c>
      <c r="AX132" s="49">
        <f ca="1"/>
        <v>3.9087093019398188E-4</v>
      </c>
      <c r="AY132" s="49">
        <f ca="1"/>
        <v>1.1417526139614199E-3</v>
      </c>
      <c r="AZ132" s="49">
        <f ca="1"/>
        <v>3.2573368907896391E-3</v>
      </c>
      <c r="BA132" s="49">
        <f ca="1"/>
        <v>9.085120486512735E-3</v>
      </c>
      <c r="BB132" s="49">
        <f ca="1"/>
        <v>2.4795694571329248E-2</v>
      </c>
      <c r="BC132" s="49">
        <f ca="1"/>
        <v>6.627907523513972E-2</v>
      </c>
      <c r="BD132" s="49">
        <f ca="1"/>
        <v>0.17365475194114519</v>
      </c>
      <c r="BE132" s="49">
        <f ca="1"/>
        <v>0.44631606857877643</v>
      </c>
      <c r="BF132" s="49">
        <f ca="1"/>
        <v>0.16327573572968118</v>
      </c>
      <c r="BG132" s="49">
        <f ca="1"/>
        <v>5.3585552525808398E-2</v>
      </c>
    </row>
    <row r="133" spans="7:59" s="49" customFormat="1" x14ac:dyDescent="0.25">
      <c r="H133" s="26">
        <f t="shared" si="97"/>
        <v>48</v>
      </c>
      <c r="K133" s="49">
        <f ca="1"/>
        <v>1.1200219663683042E-44</v>
      </c>
      <c r="L133" s="49">
        <f ca="1"/>
        <v>6.2169954101696113E-42</v>
      </c>
      <c r="M133" s="49">
        <f ca="1"/>
        <v>1.5378844464737826E-39</v>
      </c>
      <c r="N133" s="49">
        <f ca="1"/>
        <v>2.1494778176273125E-37</v>
      </c>
      <c r="O133" s="49">
        <f ca="1"/>
        <v>1.9347428899140311E-35</v>
      </c>
      <c r="P133" s="49">
        <f ca="1"/>
        <v>1.2189601429241513E-33</v>
      </c>
      <c r="Q133" s="49">
        <f ca="1"/>
        <v>5.6965618464573627E-32</v>
      </c>
      <c r="R133" s="49">
        <f ca="1"/>
        <v>2.0610353222525216E-30</v>
      </c>
      <c r="S133" s="49">
        <f ca="1"/>
        <v>5.966716673043156E-29</v>
      </c>
      <c r="T133" s="49">
        <f ca="1"/>
        <v>1.4189456415014028E-27</v>
      </c>
      <c r="U133" s="49">
        <f ca="1"/>
        <v>2.8319174964614968E-26</v>
      </c>
      <c r="V133" s="49">
        <f ca="1"/>
        <v>4.8286187649040981E-25</v>
      </c>
      <c r="W133" s="49">
        <f ca="1"/>
        <v>7.1406856477685415E-24</v>
      </c>
      <c r="X133" s="49">
        <f ca="1"/>
        <v>9.2776979554053209E-23</v>
      </c>
      <c r="Y133" s="49">
        <f ca="1"/>
        <v>1.0709781475241574E-21</v>
      </c>
      <c r="Z133" s="49">
        <f ca="1"/>
        <v>1.1091873081124314E-20</v>
      </c>
      <c r="AA133" s="49">
        <f ca="1"/>
        <v>1.0395606787577876E-19</v>
      </c>
      <c r="AB133" s="49">
        <f ca="1"/>
        <v>8.884385064767598E-19</v>
      </c>
      <c r="AC133" s="49">
        <f ca="1"/>
        <v>6.9709102786352383E-18</v>
      </c>
      <c r="AD133" s="49">
        <f ca="1"/>
        <v>5.0521991918953134E-17</v>
      </c>
      <c r="AE133" s="49">
        <f ca="1"/>
        <v>3.4007853444794672E-16</v>
      </c>
      <c r="AF133" s="49">
        <f ca="1"/>
        <v>2.1366544419666438E-15</v>
      </c>
      <c r="AG133" s="49">
        <f ca="1"/>
        <v>1.2586149268044907E-14</v>
      </c>
      <c r="AH133" s="49">
        <f ca="1"/>
        <v>6.9795157274294343E-14</v>
      </c>
      <c r="AI133" s="49">
        <f ca="1"/>
        <v>3.6571740822688033E-13</v>
      </c>
      <c r="AJ133" s="49">
        <f ca="1"/>
        <v>1.8168935639920688E-12</v>
      </c>
      <c r="AK133" s="49">
        <f ca="1"/>
        <v>8.584778375907405E-12</v>
      </c>
      <c r="AL133" s="49">
        <f ca="1"/>
        <v>3.8688907324710926E-11</v>
      </c>
      <c r="AM133" s="49">
        <f ca="1"/>
        <v>1.667419369465896E-10</v>
      </c>
      <c r="AN133" s="49">
        <f ca="1"/>
        <v>6.8890385229906099E-10</v>
      </c>
      <c r="AO133" s="49">
        <f ca="1"/>
        <v>2.7346520478332501E-9</v>
      </c>
      <c r="AP133" s="49">
        <f ca="1"/>
        <v>1.0451463969630187E-8</v>
      </c>
      <c r="AQ133" s="49">
        <f ca="1"/>
        <v>3.8531868764161164E-8</v>
      </c>
      <c r="AR133" s="49">
        <f ca="1"/>
        <v>1.3728011788047616E-7</v>
      </c>
      <c r="AS133" s="49">
        <f ca="1"/>
        <v>4.7343718727570075E-7</v>
      </c>
      <c r="AT133" s="49">
        <f ca="1"/>
        <v>1.5829140941309299E-6</v>
      </c>
      <c r="AU133" s="49">
        <f ca="1"/>
        <v>5.1383126658453712E-6</v>
      </c>
      <c r="AV133" s="49">
        <f ca="1"/>
        <v>1.6215805982488218E-5</v>
      </c>
      <c r="AW133" s="49">
        <f ca="1"/>
        <v>4.9814999304256749E-5</v>
      </c>
      <c r="AX133" s="49">
        <f ca="1"/>
        <v>1.4914175790068117E-4</v>
      </c>
      <c r="AY133" s="49">
        <f ca="1"/>
        <v>4.356501821442586E-4</v>
      </c>
      <c r="AZ133" s="49">
        <f ca="1"/>
        <v>1.2428781790603104E-3</v>
      </c>
      <c r="BA133" s="49">
        <f ca="1"/>
        <v>3.4665428800897385E-3</v>
      </c>
      <c r="BB133" s="49">
        <f ca="1"/>
        <v>9.461111561561094E-3</v>
      </c>
      <c r="BC133" s="49">
        <f ca="1"/>
        <v>2.5289621276502992E-2</v>
      </c>
      <c r="BD133" s="49">
        <f ca="1"/>
        <v>6.6260171764259496E-2</v>
      </c>
      <c r="BE133" s="49">
        <f ca="1"/>
        <v>0.17029755324634926</v>
      </c>
      <c r="BF133" s="49">
        <f ca="1"/>
        <v>0.42966196415327373</v>
      </c>
      <c r="BG133" s="49">
        <f ca="1"/>
        <v>0.14101099373758255</v>
      </c>
    </row>
    <row r="134" spans="7:59" s="49" customFormat="1" x14ac:dyDescent="0.25">
      <c r="H134" s="26">
        <f t="shared" si="97"/>
        <v>49</v>
      </c>
      <c r="K134" s="49">
        <f ca="1"/>
        <v>3.8305601769676779E-45</v>
      </c>
      <c r="L134" s="49">
        <f ca="1"/>
        <v>2.126259640764532E-42</v>
      </c>
      <c r="M134" s="49">
        <f ca="1"/>
        <v>5.2596815904798867E-40</v>
      </c>
      <c r="N134" s="49">
        <f ca="1"/>
        <v>7.3513773628713226E-38</v>
      </c>
      <c r="O134" s="49">
        <f ca="1"/>
        <v>6.6169676035969734E-36</v>
      </c>
      <c r="P134" s="49">
        <f ca="1"/>
        <v>4.1689362539347249E-34</v>
      </c>
      <c r="Q134" s="49">
        <f ca="1"/>
        <v>1.9482674099176984E-32</v>
      </c>
      <c r="R134" s="49">
        <f ca="1"/>
        <v>7.0488973125622753E-31</v>
      </c>
      <c r="S134" s="49">
        <f ca="1"/>
        <v>2.0406624121059731E-29</v>
      </c>
      <c r="T134" s="49">
        <f ca="1"/>
        <v>4.8529018455248626E-28</v>
      </c>
      <c r="U134" s="49">
        <f ca="1"/>
        <v>9.685372887442326E-27</v>
      </c>
      <c r="V134" s="49">
        <f ca="1"/>
        <v>1.6514242850589085E-25</v>
      </c>
      <c r="W134" s="49">
        <f ca="1"/>
        <v>2.4421687163224986E-24</v>
      </c>
      <c r="X134" s="49">
        <f ca="1"/>
        <v>3.1730431535325457E-23</v>
      </c>
      <c r="Y134" s="49">
        <f ca="1"/>
        <v>3.6628265922416896E-22</v>
      </c>
      <c r="Z134" s="49">
        <f ca="1"/>
        <v>3.7935048229726367E-21</v>
      </c>
      <c r="AA134" s="49">
        <f ca="1"/>
        <v>3.555376463287694E-20</v>
      </c>
      <c r="AB134" s="49">
        <f ca="1"/>
        <v>3.0385271582034441E-19</v>
      </c>
      <c r="AC134" s="49">
        <f ca="1"/>
        <v>2.3841042508423491E-18</v>
      </c>
      <c r="AD134" s="49">
        <f ca="1"/>
        <v>1.7278904889101592E-17</v>
      </c>
      <c r="AE134" s="49">
        <f ca="1"/>
        <v>1.1630944126228529E-16</v>
      </c>
      <c r="AF134" s="49">
        <f ca="1"/>
        <v>7.3075204443330818E-16</v>
      </c>
      <c r="AG134" s="49">
        <f ca="1"/>
        <v>4.304558626101967E-15</v>
      </c>
      <c r="AH134" s="49">
        <f ca="1"/>
        <v>2.3870473796778368E-14</v>
      </c>
      <c r="AI134" s="49">
        <f ca="1"/>
        <v>1.2507813079061087E-13</v>
      </c>
      <c r="AJ134" s="49">
        <f ca="1"/>
        <v>6.2139139597270038E-13</v>
      </c>
      <c r="AK134" s="49">
        <f ca="1"/>
        <v>2.936059395466404E-12</v>
      </c>
      <c r="AL134" s="49">
        <f ca="1"/>
        <v>1.3231900100046531E-11</v>
      </c>
      <c r="AM134" s="49">
        <f ca="1"/>
        <v>5.7027008637081396E-11</v>
      </c>
      <c r="AN134" s="49">
        <f ca="1"/>
        <v>2.3561034886959026E-10</v>
      </c>
      <c r="AO134" s="49">
        <f ca="1"/>
        <v>9.3527176670109271E-10</v>
      </c>
      <c r="AP134" s="49">
        <f ca="1"/>
        <v>3.5744800437166573E-9</v>
      </c>
      <c r="AQ134" s="49">
        <f ca="1"/>
        <v>1.3178191719822456E-8</v>
      </c>
      <c r="AR134" s="49">
        <f ca="1"/>
        <v>4.6950842789940297E-8</v>
      </c>
      <c r="AS134" s="49">
        <f ca="1"/>
        <v>1.6191911322545732E-7</v>
      </c>
      <c r="AT134" s="49">
        <f ca="1"/>
        <v>5.4136864049190652E-7</v>
      </c>
      <c r="AU134" s="49">
        <f ca="1"/>
        <v>1.7573419509277323E-6</v>
      </c>
      <c r="AV134" s="49">
        <f ca="1"/>
        <v>5.54592878525096E-6</v>
      </c>
      <c r="AW134" s="49">
        <f ca="1"/>
        <v>1.703710804613006E-5</v>
      </c>
      <c r="AX134" s="49">
        <f ca="1"/>
        <v>5.1007613751518217E-5</v>
      </c>
      <c r="AY134" s="49">
        <f ca="1"/>
        <v>1.4899567052435427E-4</v>
      </c>
      <c r="AZ134" s="49">
        <f ca="1"/>
        <v>4.2507377538030932E-4</v>
      </c>
      <c r="BA134" s="49">
        <f ca="1"/>
        <v>1.1855839891497305E-3</v>
      </c>
      <c r="BB134" s="49">
        <f ca="1"/>
        <v>3.2357719996401325E-3</v>
      </c>
      <c r="BC134" s="49">
        <f ca="1"/>
        <v>8.6492425203481531E-3</v>
      </c>
      <c r="BD134" s="49">
        <f ca="1"/>
        <v>2.2661481908449233E-2</v>
      </c>
      <c r="BE134" s="49">
        <f ca="1"/>
        <v>5.8243056412162063E-2</v>
      </c>
      <c r="BF134" s="49">
        <f ca="1"/>
        <v>0.14694765449823596</v>
      </c>
      <c r="BG134" s="49">
        <f ca="1"/>
        <v>0.36420309010615853</v>
      </c>
    </row>
    <row r="135" spans="7:59" s="49" customFormat="1" x14ac:dyDescent="0.25">
      <c r="H135" s="26">
        <f t="shared" si="97"/>
        <v>50</v>
      </c>
      <c r="AE135" s="33"/>
      <c r="AF135" s="33"/>
      <c r="AG135" s="33"/>
      <c r="AH135" s="33"/>
      <c r="AI135" s="33"/>
      <c r="AJ135" s="33"/>
    </row>
    <row r="136" spans="7:59" s="49" customFormat="1" x14ac:dyDescent="0.25">
      <c r="AE136" s="33"/>
      <c r="AF136" s="33"/>
      <c r="AG136" s="33"/>
      <c r="AH136" s="33"/>
      <c r="AI136" s="33"/>
      <c r="AJ136" s="33"/>
    </row>
    <row r="137" spans="7:59" s="49" customFormat="1" x14ac:dyDescent="0.25">
      <c r="M137" s="51" t="s">
        <v>40</v>
      </c>
      <c r="AE137" s="33"/>
      <c r="AF137" s="33"/>
      <c r="AG137" s="33"/>
      <c r="AH137" s="33"/>
      <c r="AI137" s="33"/>
      <c r="AJ137" s="33"/>
    </row>
    <row r="138" spans="7:59" s="49" customFormat="1" x14ac:dyDescent="0.25">
      <c r="AE138" s="33"/>
      <c r="AF138" s="33"/>
      <c r="AG138" s="33"/>
      <c r="AH138" s="33"/>
      <c r="AI138" s="33"/>
      <c r="AJ138" s="33"/>
    </row>
    <row r="139" spans="7:59" x14ac:dyDescent="0.25"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</row>
    <row r="140" spans="7:59" x14ac:dyDescent="0.25">
      <c r="G140" s="10" t="s">
        <v>19</v>
      </c>
      <c r="H140" s="10">
        <v>9</v>
      </c>
      <c r="I140" s="10">
        <v>0</v>
      </c>
      <c r="K140" s="5" t="s">
        <v>11</v>
      </c>
      <c r="L140" s="1">
        <f>G29</f>
        <v>0.9</v>
      </c>
      <c r="M140" s="1">
        <f>G28</f>
        <v>0.8</v>
      </c>
      <c r="N140" s="5" t="s">
        <v>20</v>
      </c>
      <c r="O140" s="5">
        <f>G27</f>
        <v>0.7</v>
      </c>
      <c r="P140" s="5" t="s">
        <v>20</v>
      </c>
      <c r="Q140" s="5">
        <f>G26</f>
        <v>0.6</v>
      </c>
      <c r="R140" s="5" t="s">
        <v>20</v>
      </c>
      <c r="S140" s="5">
        <f>G25</f>
        <v>0.5</v>
      </c>
      <c r="T140" s="5" t="s">
        <v>20</v>
      </c>
      <c r="U140" s="5">
        <f>G24</f>
        <v>0.4</v>
      </c>
      <c r="V140" s="5" t="s">
        <v>20</v>
      </c>
      <c r="W140" s="5">
        <f>G23</f>
        <v>0.3</v>
      </c>
      <c r="X140" s="5" t="s">
        <v>20</v>
      </c>
      <c r="Y140" s="5">
        <f>G22</f>
        <v>0.3</v>
      </c>
      <c r="Z140" s="5" t="s">
        <v>20</v>
      </c>
      <c r="AA140" s="5">
        <f>G21</f>
        <v>0.2</v>
      </c>
      <c r="AB140" s="5" t="s">
        <v>20</v>
      </c>
      <c r="AC140" s="5">
        <f>G20</f>
        <v>0.1</v>
      </c>
      <c r="AD140" s="5" t="s">
        <v>20</v>
      </c>
      <c r="AE140" s="5">
        <f>G19</f>
        <v>0</v>
      </c>
      <c r="AF140" s="5" t="s">
        <v>20</v>
      </c>
      <c r="AG140" s="8"/>
      <c r="AH140" s="8"/>
      <c r="AI140" s="8"/>
      <c r="AJ140" s="8"/>
    </row>
    <row r="141" spans="7:59" x14ac:dyDescent="0.25">
      <c r="G141" s="1" t="s">
        <v>19</v>
      </c>
      <c r="H141" s="1">
        <v>9</v>
      </c>
      <c r="I141" s="1">
        <f>I140+1</f>
        <v>1</v>
      </c>
      <c r="L141" s="9">
        <f ca="1">OFFSET($J$29,0,I141)</f>
        <v>45.454999999999998</v>
      </c>
      <c r="M141" s="14">
        <f t="array" aca="1" ref="M141:M189" ca="1">MMULT($K$86:$BG$134,$L$141:$L$189)</f>
        <v>45.431250868198454</v>
      </c>
      <c r="N141" s="6">
        <f ca="1">MAX(M141,$L141)</f>
        <v>45.454999999999998</v>
      </c>
      <c r="O141" s="14">
        <f t="array" aca="1" ref="O141:O189" ca="1">MMULT($K$86:$BG$134,N141:N189)</f>
        <v>45.431250868198454</v>
      </c>
      <c r="P141" s="6">
        <f t="shared" ref="P141:P159" ca="1" si="98">MAX(O141,$L141)</f>
        <v>45.454999999999998</v>
      </c>
      <c r="Q141" s="14">
        <f t="array" aca="1" ref="Q141:Q189" ca="1">MMULT($K$86:$BG$134,P141:P189)</f>
        <v>45.431250868198454</v>
      </c>
      <c r="R141" s="6">
        <f t="shared" ref="R141:R159" ca="1" si="99">MAX(Q141,$L141)</f>
        <v>45.454999999999998</v>
      </c>
      <c r="S141" s="14">
        <f t="array" aca="1" ref="S141:S189" ca="1">MMULT($K$86:$BG$134,R141:R189)</f>
        <v>45.431250868198454</v>
      </c>
      <c r="T141" s="6">
        <f ca="1">MAX(S141,$L141)</f>
        <v>45.454999999999998</v>
      </c>
      <c r="U141" s="14">
        <f t="array" aca="1" ref="U141:U189" ca="1">MMULT($K$86:$BG$134,T141:T189)</f>
        <v>45.431250868198454</v>
      </c>
      <c r="V141" s="6">
        <f t="shared" ref="V141:V159" ca="1" si="100">MAX(U141,$L141)</f>
        <v>45.454999999999998</v>
      </c>
      <c r="W141" s="14">
        <f t="array" aca="1" ref="W141:W189" ca="1">MMULT($K$86:$BG$134,V141:V189)</f>
        <v>45.431250868198454</v>
      </c>
      <c r="X141" s="6">
        <f t="shared" ref="X141:X159" ca="1" si="101">MAX(W141,$L141)</f>
        <v>45.454999999999998</v>
      </c>
      <c r="Y141" s="14">
        <f t="array" aca="1" ref="Y141:Y189" ca="1">MMULT($K$86:$BG$134,X141:X189)</f>
        <v>45.431250868198454</v>
      </c>
      <c r="Z141" s="6">
        <f t="shared" ref="Z141:Z159" ca="1" si="102">MAX(Y141,$L141)</f>
        <v>45.454999999999998</v>
      </c>
      <c r="AA141" s="14">
        <f t="array" aca="1" ref="AA141:AA189" ca="1">MMULT($K$86:$BG$134,Z141:Z189)</f>
        <v>45.431250868198454</v>
      </c>
      <c r="AB141" s="6">
        <f t="shared" ref="AB141:AB159" ca="1" si="103">MAX(AA141,$L141)</f>
        <v>45.454999999999998</v>
      </c>
      <c r="AC141" s="14">
        <f t="array" aca="1" ref="AC141:AC189" ca="1">MMULT($K$86:$BG$134,AB141:AB189)</f>
        <v>45.431250868198454</v>
      </c>
      <c r="AD141" s="6">
        <f t="shared" ref="AD141:AD159" ca="1" si="104">MAX(AC141,$L141)</f>
        <v>45.454999999999998</v>
      </c>
      <c r="AE141" s="14">
        <f t="array" aca="1" ref="AE141:AE189" ca="1">MMULT($K$86:$BG$134,AD141:AD189)</f>
        <v>45.431250868198454</v>
      </c>
      <c r="AF141" s="6">
        <f t="shared" ref="AF141:AF159" ca="1" si="105">MAX(AE141,$L141)</f>
        <v>45.454999999999998</v>
      </c>
    </row>
    <row r="142" spans="7:59" x14ac:dyDescent="0.25">
      <c r="G142" s="1" t="s">
        <v>19</v>
      </c>
      <c r="H142" s="1">
        <v>9</v>
      </c>
      <c r="I142" s="1">
        <f t="shared" ref="I142:I158" si="106">I141+1</f>
        <v>2</v>
      </c>
      <c r="L142" s="9">
        <f t="shared" ref="L142:L159" ca="1" si="107">OFFSET($J$29,0,I142)</f>
        <v>40.909999999999997</v>
      </c>
      <c r="M142" s="39">
        <f ca="1"/>
        <v>40.908852198307137</v>
      </c>
      <c r="N142" s="6">
        <f t="shared" ref="N142:N159" ca="1" si="108">MAX(M142,$L142)</f>
        <v>40.909999999999997</v>
      </c>
      <c r="O142" s="14">
        <f ca="1"/>
        <v>40.908852198307137</v>
      </c>
      <c r="P142" s="6">
        <f t="shared" ca="1" si="98"/>
        <v>40.909999999999997</v>
      </c>
      <c r="Q142" s="14">
        <f ca="1"/>
        <v>40.908852198307137</v>
      </c>
      <c r="R142" s="6">
        <f t="shared" ca="1" si="99"/>
        <v>40.909999999999997</v>
      </c>
      <c r="S142" s="14">
        <f ca="1"/>
        <v>40.908852198307137</v>
      </c>
      <c r="T142" s="6">
        <f t="shared" ref="T142:T159" ca="1" si="109">MAX(S142,$L142)</f>
        <v>40.909999999999997</v>
      </c>
      <c r="U142" s="14">
        <f ca="1"/>
        <v>40.908852198307137</v>
      </c>
      <c r="V142" s="6">
        <f t="shared" ca="1" si="100"/>
        <v>40.909999999999997</v>
      </c>
      <c r="W142" s="14">
        <f ca="1"/>
        <v>40.908852198307137</v>
      </c>
      <c r="X142" s="6">
        <f t="shared" ca="1" si="101"/>
        <v>40.909999999999997</v>
      </c>
      <c r="Y142" s="14">
        <f ca="1"/>
        <v>40.908852198307137</v>
      </c>
      <c r="Z142" s="6">
        <f t="shared" ca="1" si="102"/>
        <v>40.909999999999997</v>
      </c>
      <c r="AA142" s="14">
        <f ca="1"/>
        <v>40.908852198307137</v>
      </c>
      <c r="AB142" s="6">
        <f t="shared" ca="1" si="103"/>
        <v>40.909999999999997</v>
      </c>
      <c r="AC142" s="14">
        <f ca="1"/>
        <v>40.908852198307137</v>
      </c>
      <c r="AD142" s="6">
        <f t="shared" ca="1" si="104"/>
        <v>40.909999999999997</v>
      </c>
      <c r="AE142" s="14">
        <f ca="1"/>
        <v>40.908852198307137</v>
      </c>
      <c r="AF142" s="6">
        <f t="shared" ca="1" si="105"/>
        <v>40.909999999999997</v>
      </c>
    </row>
    <row r="143" spans="7:59" x14ac:dyDescent="0.25">
      <c r="G143" s="1" t="s">
        <v>19</v>
      </c>
      <c r="H143" s="1">
        <v>9</v>
      </c>
      <c r="I143" s="1">
        <f t="shared" si="106"/>
        <v>3</v>
      </c>
      <c r="L143" s="9">
        <f t="shared" ca="1" si="107"/>
        <v>36.365000000000002</v>
      </c>
      <c r="M143" s="39">
        <f ca="1"/>
        <v>36.364015518056931</v>
      </c>
      <c r="N143" s="6">
        <f t="shared" ca="1" si="108"/>
        <v>36.365000000000002</v>
      </c>
      <c r="O143" s="14">
        <f ca="1"/>
        <v>36.364015518056938</v>
      </c>
      <c r="P143" s="6">
        <f t="shared" ca="1" si="98"/>
        <v>36.365000000000002</v>
      </c>
      <c r="Q143" s="14">
        <f ca="1"/>
        <v>36.364015518056938</v>
      </c>
      <c r="R143" s="6">
        <f t="shared" ca="1" si="99"/>
        <v>36.365000000000002</v>
      </c>
      <c r="S143" s="14">
        <f ca="1"/>
        <v>36.364015518056945</v>
      </c>
      <c r="T143" s="6">
        <f t="shared" ca="1" si="109"/>
        <v>36.365000000000002</v>
      </c>
      <c r="U143" s="14">
        <f ca="1"/>
        <v>36.364015518056952</v>
      </c>
      <c r="V143" s="6">
        <f t="shared" ca="1" si="100"/>
        <v>36.365000000000002</v>
      </c>
      <c r="W143" s="14">
        <f ca="1"/>
        <v>36.364015518056966</v>
      </c>
      <c r="X143" s="6">
        <f t="shared" ca="1" si="101"/>
        <v>36.365000000000002</v>
      </c>
      <c r="Y143" s="14">
        <f ca="1"/>
        <v>36.364015518056988</v>
      </c>
      <c r="Z143" s="6">
        <f t="shared" ca="1" si="102"/>
        <v>36.365000000000002</v>
      </c>
      <c r="AA143" s="14">
        <f ca="1"/>
        <v>36.364015518057016</v>
      </c>
      <c r="AB143" s="6">
        <f t="shared" ca="1" si="103"/>
        <v>36.365000000000002</v>
      </c>
      <c r="AC143" s="14">
        <f ca="1"/>
        <v>36.364015518057059</v>
      </c>
      <c r="AD143" s="6">
        <f t="shared" ca="1" si="104"/>
        <v>36.365000000000002</v>
      </c>
      <c r="AE143" s="14">
        <f ca="1"/>
        <v>36.364015518057137</v>
      </c>
      <c r="AF143" s="6">
        <f t="shared" ca="1" si="105"/>
        <v>36.365000000000002</v>
      </c>
    </row>
    <row r="144" spans="7:59" x14ac:dyDescent="0.25">
      <c r="G144" s="1" t="s">
        <v>19</v>
      </c>
      <c r="H144" s="1">
        <v>9</v>
      </c>
      <c r="I144" s="1">
        <f t="shared" si="106"/>
        <v>4</v>
      </c>
      <c r="L144" s="9">
        <f t="shared" ca="1" si="107"/>
        <v>31.82</v>
      </c>
      <c r="M144" s="39">
        <f ca="1"/>
        <v>31.819138702704304</v>
      </c>
      <c r="N144" s="6">
        <f t="shared" ca="1" si="108"/>
        <v>31.82</v>
      </c>
      <c r="O144" s="14">
        <f ca="1"/>
        <v>31.819138702704759</v>
      </c>
      <c r="P144" s="6">
        <f t="shared" ca="1" si="98"/>
        <v>31.82</v>
      </c>
      <c r="Q144" s="14">
        <f ca="1"/>
        <v>31.819138702705747</v>
      </c>
      <c r="R144" s="6">
        <f t="shared" ca="1" si="99"/>
        <v>31.82</v>
      </c>
      <c r="S144" s="14">
        <f ca="1"/>
        <v>31.819138702707367</v>
      </c>
      <c r="T144" s="6">
        <f t="shared" ca="1" si="109"/>
        <v>31.82</v>
      </c>
      <c r="U144" s="14">
        <f ca="1"/>
        <v>31.819138702709665</v>
      </c>
      <c r="V144" s="6">
        <f t="shared" ca="1" si="100"/>
        <v>31.82</v>
      </c>
      <c r="W144" s="14">
        <f ca="1"/>
        <v>31.819138702712696</v>
      </c>
      <c r="X144" s="6">
        <f t="shared" ca="1" si="101"/>
        <v>31.82</v>
      </c>
      <c r="Y144" s="14">
        <f ca="1"/>
        <v>31.819138702716476</v>
      </c>
      <c r="Z144" s="6">
        <f t="shared" ca="1" si="102"/>
        <v>31.82</v>
      </c>
      <c r="AA144" s="14">
        <f ca="1"/>
        <v>31.819138702723638</v>
      </c>
      <c r="AB144" s="6">
        <f t="shared" ca="1" si="103"/>
        <v>31.82</v>
      </c>
      <c r="AC144" s="14">
        <f ca="1"/>
        <v>31.819138702735703</v>
      </c>
      <c r="AD144" s="6">
        <f t="shared" ca="1" si="104"/>
        <v>31.82</v>
      </c>
      <c r="AE144" s="14">
        <f ca="1"/>
        <v>31.81913870275315</v>
      </c>
      <c r="AF144" s="6">
        <f t="shared" ca="1" si="105"/>
        <v>31.82</v>
      </c>
    </row>
    <row r="145" spans="7:32" x14ac:dyDescent="0.25">
      <c r="G145" s="1" t="s">
        <v>19</v>
      </c>
      <c r="H145" s="1">
        <v>9</v>
      </c>
      <c r="I145" s="1">
        <f t="shared" si="106"/>
        <v>5</v>
      </c>
      <c r="L145" s="9">
        <f t="shared" ca="1" si="107"/>
        <v>27.274999999999999</v>
      </c>
      <c r="M145" s="39">
        <f ca="1"/>
        <v>27.274261726852163</v>
      </c>
      <c r="N145" s="6">
        <f t="shared" ca="1" si="108"/>
        <v>27.274999999999999</v>
      </c>
      <c r="O145" s="14">
        <f ca="1"/>
        <v>27.274261726916279</v>
      </c>
      <c r="P145" s="6">
        <f t="shared" ca="1" si="98"/>
        <v>27.274999999999999</v>
      </c>
      <c r="Q145" s="14">
        <f ca="1"/>
        <v>27.274261727055425</v>
      </c>
      <c r="R145" s="6">
        <f t="shared" ca="1" si="99"/>
        <v>27.274999999999999</v>
      </c>
      <c r="S145" s="14">
        <f ca="1"/>
        <v>27.274261727282525</v>
      </c>
      <c r="T145" s="6">
        <f t="shared" ca="1" si="109"/>
        <v>27.274999999999999</v>
      </c>
      <c r="U145" s="14">
        <f ca="1"/>
        <v>27.274261727606437</v>
      </c>
      <c r="V145" s="6">
        <f t="shared" ca="1" si="100"/>
        <v>27.274999999999999</v>
      </c>
      <c r="W145" s="14">
        <f ca="1"/>
        <v>27.274261728032741</v>
      </c>
      <c r="X145" s="6">
        <f t="shared" ca="1" si="101"/>
        <v>27.274999999999999</v>
      </c>
      <c r="Y145" s="14">
        <f ca="1"/>
        <v>27.274261728564348</v>
      </c>
      <c r="Z145" s="6">
        <f t="shared" ca="1" si="102"/>
        <v>27.274999999999999</v>
      </c>
      <c r="AA145" s="14">
        <f ca="1"/>
        <v>27.274261729571393</v>
      </c>
      <c r="AB145" s="6">
        <f t="shared" ca="1" si="103"/>
        <v>27.274999999999999</v>
      </c>
      <c r="AC145" s="14">
        <f ca="1"/>
        <v>27.274261731268268</v>
      </c>
      <c r="AD145" s="6">
        <f t="shared" ca="1" si="104"/>
        <v>27.274999999999999</v>
      </c>
      <c r="AE145" s="14">
        <f ca="1"/>
        <v>27.274261733722309</v>
      </c>
      <c r="AF145" s="6">
        <f t="shared" ca="1" si="105"/>
        <v>27.274999999999999</v>
      </c>
    </row>
    <row r="146" spans="7:32" x14ac:dyDescent="0.25">
      <c r="G146" s="1" t="s">
        <v>19</v>
      </c>
      <c r="H146" s="1">
        <v>9</v>
      </c>
      <c r="I146" s="1">
        <f t="shared" si="106"/>
        <v>6</v>
      </c>
      <c r="L146" s="9">
        <f t="shared" ca="1" si="107"/>
        <v>22.73</v>
      </c>
      <c r="M146" s="39">
        <f ca="1"/>
        <v>22.729384752677905</v>
      </c>
      <c r="N146" s="6">
        <f t="shared" ca="1" si="108"/>
        <v>22.73</v>
      </c>
      <c r="O146" s="14">
        <f ca="1"/>
        <v>22.729384758494941</v>
      </c>
      <c r="P146" s="6">
        <f t="shared" ca="1" si="98"/>
        <v>22.73</v>
      </c>
      <c r="Q146" s="14">
        <f ca="1"/>
        <v>22.729384771118667</v>
      </c>
      <c r="R146" s="6">
        <f t="shared" ca="1" si="99"/>
        <v>22.73</v>
      </c>
      <c r="S146" s="14">
        <f ca="1"/>
        <v>22.729384791722328</v>
      </c>
      <c r="T146" s="6">
        <f t="shared" ca="1" si="109"/>
        <v>22.73</v>
      </c>
      <c r="U146" s="14">
        <f ca="1"/>
        <v>22.729384821109686</v>
      </c>
      <c r="V146" s="6">
        <f t="shared" ca="1" si="100"/>
        <v>22.73</v>
      </c>
      <c r="W146" s="14">
        <f ca="1"/>
        <v>22.729384859785924</v>
      </c>
      <c r="X146" s="6">
        <f t="shared" ca="1" si="101"/>
        <v>22.73</v>
      </c>
      <c r="Y146" s="14">
        <f ca="1"/>
        <v>22.729384908016552</v>
      </c>
      <c r="Z146" s="6">
        <f t="shared" ca="1" si="102"/>
        <v>22.73</v>
      </c>
      <c r="AA146" s="14">
        <f ca="1"/>
        <v>22.729384999380777</v>
      </c>
      <c r="AB146" s="6">
        <f t="shared" ca="1" si="103"/>
        <v>22.73</v>
      </c>
      <c r="AC146" s="14">
        <f ca="1"/>
        <v>22.72938515333092</v>
      </c>
      <c r="AD146" s="6">
        <f t="shared" ca="1" si="104"/>
        <v>22.73</v>
      </c>
      <c r="AE146" s="14">
        <f ca="1"/>
        <v>22.729385375974367</v>
      </c>
      <c r="AF146" s="6">
        <f t="shared" ca="1" si="105"/>
        <v>22.73</v>
      </c>
    </row>
    <row r="147" spans="7:32" x14ac:dyDescent="0.25">
      <c r="G147" s="1" t="s">
        <v>19</v>
      </c>
      <c r="H147" s="1">
        <v>9</v>
      </c>
      <c r="I147" s="1">
        <f t="shared" si="106"/>
        <v>7</v>
      </c>
      <c r="L147" s="9">
        <f t="shared" ca="1" si="107"/>
        <v>18.185000000000002</v>
      </c>
      <c r="M147" s="39">
        <f ca="1"/>
        <v>18.184507955557017</v>
      </c>
      <c r="N147" s="6">
        <f t="shared" ca="1" si="108"/>
        <v>18.185000000000002</v>
      </c>
      <c r="O147" s="14">
        <f ca="1"/>
        <v>18.184508325571187</v>
      </c>
      <c r="P147" s="6">
        <f t="shared" ca="1" si="98"/>
        <v>18.185000000000002</v>
      </c>
      <c r="Q147" s="14">
        <f ca="1"/>
        <v>18.184509128551074</v>
      </c>
      <c r="R147" s="6">
        <f t="shared" ca="1" si="99"/>
        <v>18.185000000000002</v>
      </c>
      <c r="S147" s="14">
        <f ca="1"/>
        <v>18.184510439124363</v>
      </c>
      <c r="T147" s="6">
        <f t="shared" ca="1" si="109"/>
        <v>18.185000000000002</v>
      </c>
      <c r="U147" s="14">
        <f ca="1"/>
        <v>18.184512308417304</v>
      </c>
      <c r="V147" s="6">
        <f t="shared" ca="1" si="100"/>
        <v>18.185000000000002</v>
      </c>
      <c r="W147" s="14">
        <f ca="1"/>
        <v>18.18451476856454</v>
      </c>
      <c r="X147" s="6">
        <f t="shared" ca="1" si="101"/>
        <v>18.185000000000002</v>
      </c>
      <c r="Y147" s="14">
        <f ca="1"/>
        <v>18.184517836455147</v>
      </c>
      <c r="Z147" s="6">
        <f t="shared" ca="1" si="102"/>
        <v>18.185000000000002</v>
      </c>
      <c r="AA147" s="14">
        <f ca="1"/>
        <v>18.184523648018967</v>
      </c>
      <c r="AB147" s="6">
        <f t="shared" ca="1" si="103"/>
        <v>18.185000000000002</v>
      </c>
      <c r="AC147" s="14">
        <f ca="1"/>
        <v>18.184533440596351</v>
      </c>
      <c r="AD147" s="6">
        <f t="shared" ca="1" si="104"/>
        <v>18.185000000000002</v>
      </c>
      <c r="AE147" s="14">
        <f ca="1"/>
        <v>18.184547602668808</v>
      </c>
      <c r="AF147" s="6">
        <f t="shared" ca="1" si="105"/>
        <v>18.185000000000002</v>
      </c>
    </row>
    <row r="148" spans="7:32" x14ac:dyDescent="0.25">
      <c r="G148" s="1" t="s">
        <v>19</v>
      </c>
      <c r="H148" s="1">
        <v>9</v>
      </c>
      <c r="I148" s="1">
        <f t="shared" si="106"/>
        <v>8</v>
      </c>
      <c r="L148" s="9">
        <f t="shared" ca="1" si="107"/>
        <v>13.64</v>
      </c>
      <c r="M148" s="39">
        <f ca="1"/>
        <v>13.639639433242674</v>
      </c>
      <c r="N148" s="6">
        <f t="shared" ca="1" si="108"/>
        <v>13.64</v>
      </c>
      <c r="O148" s="14">
        <f ca="1"/>
        <v>13.639656918614341</v>
      </c>
      <c r="P148" s="6">
        <f t="shared" ca="1" si="98"/>
        <v>13.64</v>
      </c>
      <c r="Q148" s="14">
        <f ca="1"/>
        <v>13.639694864192844</v>
      </c>
      <c r="R148" s="6">
        <f t="shared" ca="1" si="99"/>
        <v>13.64</v>
      </c>
      <c r="S148" s="14">
        <f ca="1"/>
        <v>13.639756796580704</v>
      </c>
      <c r="T148" s="6">
        <f t="shared" ca="1" si="109"/>
        <v>13.64</v>
      </c>
      <c r="U148" s="14">
        <f ca="1"/>
        <v>13.639845131797273</v>
      </c>
      <c r="V148" s="6">
        <f t="shared" ca="1" si="100"/>
        <v>13.64</v>
      </c>
      <c r="W148" s="14">
        <f ca="1"/>
        <v>13.639961388395722</v>
      </c>
      <c r="X148" s="6">
        <f t="shared" ca="1" si="101"/>
        <v>13.64</v>
      </c>
      <c r="Y148" s="14">
        <f ca="1"/>
        <v>13.640106364485247</v>
      </c>
      <c r="Z148" s="6">
        <f t="shared" ca="1" si="102"/>
        <v>13.640106364485247</v>
      </c>
      <c r="AA148" s="14">
        <f ca="1"/>
        <v>13.640380995463223</v>
      </c>
      <c r="AB148" s="6">
        <f t="shared" ca="1" si="103"/>
        <v>13.640380995463223</v>
      </c>
      <c r="AC148" s="14">
        <f ca="1"/>
        <v>13.640843753024962</v>
      </c>
      <c r="AD148" s="6">
        <f t="shared" ca="1" si="104"/>
        <v>13.640843753024962</v>
      </c>
      <c r="AE148" s="14">
        <f ca="1"/>
        <v>13.641512995233862</v>
      </c>
      <c r="AF148" s="6">
        <f t="shared" ca="1" si="105"/>
        <v>13.641512995233862</v>
      </c>
    </row>
    <row r="149" spans="7:32" x14ac:dyDescent="0.25">
      <c r="G149" s="1" t="s">
        <v>19</v>
      </c>
      <c r="H149" s="1">
        <v>9</v>
      </c>
      <c r="I149" s="1">
        <f t="shared" si="106"/>
        <v>9</v>
      </c>
      <c r="L149" s="9">
        <f t="shared" ca="1" si="107"/>
        <v>9.0949999999999989</v>
      </c>
      <c r="M149" s="39">
        <f ca="1"/>
        <v>9.0950702962318957</v>
      </c>
      <c r="N149" s="6">
        <f t="shared" ca="1" si="108"/>
        <v>9.0950702962318957</v>
      </c>
      <c r="O149" s="14">
        <f ca="1"/>
        <v>9.0957109596024441</v>
      </c>
      <c r="P149" s="6">
        <f t="shared" ca="1" si="98"/>
        <v>9.0957109596024441</v>
      </c>
      <c r="Q149" s="14">
        <f ca="1"/>
        <v>9.0971012841936663</v>
      </c>
      <c r="R149" s="6">
        <f t="shared" ca="1" si="99"/>
        <v>9.0971012841936663</v>
      </c>
      <c r="S149" s="14">
        <f ca="1"/>
        <v>9.0993704845917449</v>
      </c>
      <c r="T149" s="6">
        <f t="shared" ca="1" si="109"/>
        <v>9.0993704845917449</v>
      </c>
      <c r="U149" s="14">
        <f ca="1"/>
        <v>9.1026070836560447</v>
      </c>
      <c r="V149" s="6">
        <f t="shared" ca="1" si="100"/>
        <v>9.1026070836560447</v>
      </c>
      <c r="W149" s="14">
        <f ca="1"/>
        <v>9.106866721118509</v>
      </c>
      <c r="X149" s="6">
        <f t="shared" ca="1" si="101"/>
        <v>9.106866721118509</v>
      </c>
      <c r="Y149" s="14">
        <f ca="1"/>
        <v>9.1121786396706774</v>
      </c>
      <c r="Z149" s="6">
        <f t="shared" ca="1" si="102"/>
        <v>9.1121786396706774</v>
      </c>
      <c r="AA149" s="14">
        <f ca="1"/>
        <v>9.1185544956786995</v>
      </c>
      <c r="AB149" s="6">
        <f t="shared" ca="1" si="103"/>
        <v>9.1185544956786995</v>
      </c>
      <c r="AC149" s="14">
        <f ca="1"/>
        <v>9.1259911547926471</v>
      </c>
      <c r="AD149" s="6">
        <f t="shared" ca="1" si="104"/>
        <v>9.1259911547926471</v>
      </c>
      <c r="AE149" s="14">
        <f ca="1"/>
        <v>9.1344729013238073</v>
      </c>
      <c r="AF149" s="6">
        <f t="shared" ca="1" si="105"/>
        <v>9.1344729013238073</v>
      </c>
    </row>
    <row r="150" spans="7:32" x14ac:dyDescent="0.25">
      <c r="G150" s="1" t="s">
        <v>19</v>
      </c>
      <c r="H150" s="1">
        <v>9</v>
      </c>
      <c r="I150" s="1">
        <f t="shared" si="106"/>
        <v>10</v>
      </c>
      <c r="L150" s="9">
        <f t="shared" ca="1" si="107"/>
        <v>4.5499999999999972</v>
      </c>
      <c r="M150" s="39">
        <f ca="1"/>
        <v>4.5591683919616708</v>
      </c>
      <c r="N150" s="6">
        <f t="shared" ca="1" si="108"/>
        <v>4.5591683919616708</v>
      </c>
      <c r="O150" s="14">
        <f ca="1"/>
        <v>4.5760526835099018</v>
      </c>
      <c r="P150" s="6">
        <f t="shared" ca="1" si="98"/>
        <v>4.5760526835099018</v>
      </c>
      <c r="Q150" s="14">
        <f ca="1"/>
        <v>4.599326509558491</v>
      </c>
      <c r="R150" s="6">
        <f t="shared" ca="1" si="99"/>
        <v>4.599326509558491</v>
      </c>
      <c r="S150" s="14">
        <f ca="1"/>
        <v>4.6278734000997623</v>
      </c>
      <c r="T150" s="6">
        <f t="shared" ca="1" si="109"/>
        <v>4.6278734000997623</v>
      </c>
      <c r="U150" s="14">
        <f ca="1"/>
        <v>4.6607536739010929</v>
      </c>
      <c r="V150" s="6">
        <f t="shared" ca="1" si="100"/>
        <v>4.6607536739010929</v>
      </c>
      <c r="W150" s="14">
        <f ca="1"/>
        <v>4.6971766015101712</v>
      </c>
      <c r="X150" s="6">
        <f t="shared" ca="1" si="101"/>
        <v>4.6971766015101712</v>
      </c>
      <c r="Y150" s="14">
        <f ca="1"/>
        <v>4.7364769871208416</v>
      </c>
      <c r="Z150" s="6">
        <f t="shared" ca="1" si="102"/>
        <v>4.7364769871208416</v>
      </c>
      <c r="AA150" s="14">
        <f ca="1"/>
        <v>4.7780956006601887</v>
      </c>
      <c r="AB150" s="6">
        <f t="shared" ca="1" si="103"/>
        <v>4.7780956006601887</v>
      </c>
      <c r="AC150" s="14">
        <f ca="1"/>
        <v>4.8215626434315997</v>
      </c>
      <c r="AD150" s="6">
        <f t="shared" ca="1" si="104"/>
        <v>4.8215626434315997</v>
      </c>
      <c r="AE150" s="14">
        <f ca="1"/>
        <v>4.866483763988497</v>
      </c>
      <c r="AF150" s="15">
        <f ca="1">MAX(AE150,$L150)</f>
        <v>4.866483763988497</v>
      </c>
    </row>
    <row r="151" spans="7:32" x14ac:dyDescent="0.25">
      <c r="G151" s="1" t="s">
        <v>19</v>
      </c>
      <c r="H151" s="1">
        <v>9</v>
      </c>
      <c r="I151" s="1">
        <f t="shared" si="106"/>
        <v>11</v>
      </c>
      <c r="L151" s="9">
        <f ca="1">OFFSET($J$29,0,I151)</f>
        <v>5.000000000002558E-3</v>
      </c>
      <c r="M151" s="39">
        <f ca="1"/>
        <v>0.229382058364585</v>
      </c>
      <c r="N151" s="6">
        <f t="shared" ca="1" si="108"/>
        <v>0.229382058364585</v>
      </c>
      <c r="O151" s="14">
        <f ca="1"/>
        <v>0.43367820634862125</v>
      </c>
      <c r="P151" s="6">
        <f t="shared" ca="1" si="98"/>
        <v>0.43367820634862125</v>
      </c>
      <c r="Q151" s="14">
        <f ca="1"/>
        <v>0.62058547980318268</v>
      </c>
      <c r="R151" s="6">
        <f t="shared" ca="1" si="99"/>
        <v>0.62058547980318268</v>
      </c>
      <c r="S151" s="14">
        <f ca="1"/>
        <v>0.79239705533849614</v>
      </c>
      <c r="T151" s="6">
        <f t="shared" ca="1" si="109"/>
        <v>0.79239705533849614</v>
      </c>
      <c r="U151" s="14">
        <f ca="1"/>
        <v>0.95106610378407908</v>
      </c>
      <c r="V151" s="6">
        <f t="shared" ca="1" si="100"/>
        <v>0.95106610378407908</v>
      </c>
      <c r="W151" s="14">
        <f ca="1"/>
        <v>1.0982591774272448</v>
      </c>
      <c r="X151" s="6">
        <f t="shared" ca="1" si="101"/>
        <v>1.0982591774272448</v>
      </c>
      <c r="Y151" s="14">
        <f ca="1"/>
        <v>1.235400895055319</v>
      </c>
      <c r="Z151" s="6">
        <f t="shared" ca="1" si="102"/>
        <v>1.235400895055319</v>
      </c>
      <c r="AA151" s="14">
        <f ca="1"/>
        <v>1.3637113912721406</v>
      </c>
      <c r="AB151" s="6">
        <f t="shared" ca="1" si="103"/>
        <v>1.3637113912721406</v>
      </c>
      <c r="AC151" s="14">
        <f ca="1"/>
        <v>1.4842377341601518</v>
      </c>
      <c r="AD151" s="6">
        <f t="shared" ca="1" si="104"/>
        <v>1.4842377341601518</v>
      </c>
      <c r="AE151" s="14">
        <f ca="1"/>
        <v>1.5978803097941341</v>
      </c>
      <c r="AF151" s="6">
        <f t="shared" ca="1" si="105"/>
        <v>1.5978803097941341</v>
      </c>
    </row>
    <row r="152" spans="7:32" x14ac:dyDescent="0.25">
      <c r="G152" s="1" t="s">
        <v>19</v>
      </c>
      <c r="H152" s="1">
        <v>9</v>
      </c>
      <c r="I152" s="1">
        <f t="shared" si="106"/>
        <v>12</v>
      </c>
      <c r="L152" s="9">
        <f t="shared" ca="1" si="107"/>
        <v>0</v>
      </c>
      <c r="M152" s="39">
        <f ca="1"/>
        <v>1.3229635822465148E-2</v>
      </c>
      <c r="N152" s="6">
        <f t="shared" ca="1" si="108"/>
        <v>1.3229635822465148E-2</v>
      </c>
      <c r="O152" s="14">
        <f ca="1"/>
        <v>3.6810845172409082E-2</v>
      </c>
      <c r="P152" s="6">
        <f t="shared" ca="1" si="98"/>
        <v>3.6810845172409082E-2</v>
      </c>
      <c r="Q152" s="14">
        <f ca="1"/>
        <v>6.8659984382716199E-2</v>
      </c>
      <c r="R152" s="6">
        <f t="shared" ca="1" si="99"/>
        <v>6.8659984382716199E-2</v>
      </c>
      <c r="S152" s="14">
        <f ca="1"/>
        <v>0.10707720031690873</v>
      </c>
      <c r="T152" s="6">
        <f t="shared" ca="1" si="109"/>
        <v>0.10707720031690873</v>
      </c>
      <c r="U152" s="14">
        <f ca="1"/>
        <v>0.15067627458051849</v>
      </c>
      <c r="V152" s="6">
        <f t="shared" ca="1" si="100"/>
        <v>0.15067627458051849</v>
      </c>
      <c r="W152" s="14">
        <f ca="1"/>
        <v>0.19832738779840742</v>
      </c>
      <c r="X152" s="6">
        <f t="shared" ca="1" si="101"/>
        <v>0.19832738779840742</v>
      </c>
      <c r="Y152" s="14">
        <f ca="1"/>
        <v>0.24911039559818837</v>
      </c>
      <c r="Z152" s="6">
        <f t="shared" ca="1" si="102"/>
        <v>0.24911039559818837</v>
      </c>
      <c r="AA152" s="14">
        <f ca="1"/>
        <v>0.30227666363737582</v>
      </c>
      <c r="AB152" s="6">
        <f t="shared" ca="1" si="103"/>
        <v>0.30227666363737582</v>
      </c>
      <c r="AC152" s="14">
        <f ca="1"/>
        <v>0.3572178766029559</v>
      </c>
      <c r="AD152" s="6">
        <f t="shared" ca="1" si="104"/>
        <v>0.3572178766029559</v>
      </c>
      <c r="AE152" s="14">
        <f ca="1"/>
        <v>0.41344053345844212</v>
      </c>
      <c r="AF152" s="6">
        <f t="shared" ca="1" si="105"/>
        <v>0.41344053345844212</v>
      </c>
    </row>
    <row r="153" spans="7:32" x14ac:dyDescent="0.25">
      <c r="G153" s="1" t="s">
        <v>19</v>
      </c>
      <c r="H153" s="1">
        <v>9</v>
      </c>
      <c r="I153" s="1">
        <f t="shared" si="106"/>
        <v>13</v>
      </c>
      <c r="L153" s="9">
        <f t="shared" ca="1" si="107"/>
        <v>0</v>
      </c>
      <c r="M153" s="39">
        <f ca="1"/>
        <v>8.7901419822488584E-4</v>
      </c>
      <c r="N153" s="6">
        <f t="shared" ca="1" si="108"/>
        <v>8.7901419822488584E-4</v>
      </c>
      <c r="O153" s="14">
        <f ca="1"/>
        <v>3.2162133871205174E-3</v>
      </c>
      <c r="P153" s="6">
        <f t="shared" ca="1" si="98"/>
        <v>3.2162133871205174E-3</v>
      </c>
      <c r="Q153" s="14">
        <f ca="1"/>
        <v>7.3840488855707667E-3</v>
      </c>
      <c r="R153" s="6">
        <f t="shared" ca="1" si="99"/>
        <v>7.3840488855707667E-3</v>
      </c>
      <c r="S153" s="14">
        <f ca="1"/>
        <v>1.3601040666468972E-2</v>
      </c>
      <c r="T153" s="6">
        <f t="shared" ca="1" si="109"/>
        <v>1.3601040666468972E-2</v>
      </c>
      <c r="U153" s="14">
        <f ca="1"/>
        <v>2.1972397994049191E-2</v>
      </c>
      <c r="V153" s="6">
        <f t="shared" ca="1" si="100"/>
        <v>2.1972397994049191E-2</v>
      </c>
      <c r="W153" s="14">
        <f ca="1"/>
        <v>3.2521164380950124E-2</v>
      </c>
      <c r="X153" s="6">
        <f t="shared" ca="1" si="101"/>
        <v>3.2521164380950124E-2</v>
      </c>
      <c r="Y153" s="14">
        <f ca="1"/>
        <v>4.5211992892204303E-2</v>
      </c>
      <c r="Z153" s="6">
        <f t="shared" ca="1" si="102"/>
        <v>4.5211992892204303E-2</v>
      </c>
      <c r="AA153" s="14">
        <f ca="1"/>
        <v>5.9969198990773832E-2</v>
      </c>
      <c r="AB153" s="6">
        <f t="shared" ca="1" si="103"/>
        <v>5.9969198990773832E-2</v>
      </c>
      <c r="AC153" s="14">
        <f ca="1"/>
        <v>7.6690378616270136E-2</v>
      </c>
      <c r="AD153" s="6">
        <f t="shared" ca="1" si="104"/>
        <v>7.6690378616270136E-2</v>
      </c>
      <c r="AE153" s="14">
        <f ca="1"/>
        <v>9.5256597484319458E-2</v>
      </c>
      <c r="AF153" s="6">
        <f t="shared" ca="1" si="105"/>
        <v>9.5256597484319458E-2</v>
      </c>
    </row>
    <row r="154" spans="7:32" x14ac:dyDescent="0.25">
      <c r="G154" s="1" t="s">
        <v>19</v>
      </c>
      <c r="H154" s="1">
        <v>9</v>
      </c>
      <c r="I154" s="1">
        <f t="shared" si="106"/>
        <v>14</v>
      </c>
      <c r="L154" s="9">
        <f t="shared" ca="1" si="107"/>
        <v>0</v>
      </c>
      <c r="M154" s="39">
        <f ca="1"/>
        <v>6.6426339218827335E-5</v>
      </c>
      <c r="N154" s="6">
        <f t="shared" ca="1" si="108"/>
        <v>6.6426339218827335E-5</v>
      </c>
      <c r="O154" s="14">
        <f ca="1"/>
        <v>3.0021880226111479E-4</v>
      </c>
      <c r="P154" s="6">
        <f t="shared" ca="1" si="98"/>
        <v>3.0021880226111479E-4</v>
      </c>
      <c r="Q154" s="14">
        <f ca="1"/>
        <v>8.1670769521424832E-4</v>
      </c>
      <c r="R154" s="6">
        <f t="shared" ca="1" si="99"/>
        <v>8.1670769521424832E-4</v>
      </c>
      <c r="S154" s="14">
        <f ca="1"/>
        <v>1.7323992267822825E-3</v>
      </c>
      <c r="T154" s="6">
        <f t="shared" ca="1" si="109"/>
        <v>1.7323992267822825E-3</v>
      </c>
      <c r="U154" s="14">
        <f ca="1"/>
        <v>3.1566795571524018E-3</v>
      </c>
      <c r="V154" s="6">
        <f t="shared" ca="1" si="100"/>
        <v>3.1566795571524018E-3</v>
      </c>
      <c r="W154" s="14">
        <f ca="1"/>
        <v>5.1869760810592785E-3</v>
      </c>
      <c r="X154" s="6">
        <f t="shared" ca="1" si="101"/>
        <v>5.1869760810592785E-3</v>
      </c>
      <c r="Y154" s="14">
        <f ca="1"/>
        <v>7.9063082686490708E-3</v>
      </c>
      <c r="Z154" s="6">
        <f t="shared" ca="1" si="102"/>
        <v>7.9063082686490708E-3</v>
      </c>
      <c r="AA154" s="14">
        <f ca="1"/>
        <v>1.138245317893399E-2</v>
      </c>
      <c r="AB154" s="6">
        <f t="shared" ca="1" si="103"/>
        <v>1.138245317893399E-2</v>
      </c>
      <c r="AC154" s="14">
        <f ca="1"/>
        <v>1.566816781129176E-2</v>
      </c>
      <c r="AD154" s="6">
        <f t="shared" ca="1" si="104"/>
        <v>1.566816781129176E-2</v>
      </c>
      <c r="AE154" s="14">
        <f ca="1"/>
        <v>2.0802070773438992E-2</v>
      </c>
      <c r="AF154" s="6">
        <f t="shared" ca="1" si="105"/>
        <v>2.0802070773438992E-2</v>
      </c>
    </row>
    <row r="155" spans="7:32" x14ac:dyDescent="0.25">
      <c r="G155" s="1" t="s">
        <v>19</v>
      </c>
      <c r="H155" s="1">
        <v>9</v>
      </c>
      <c r="I155" s="1">
        <f t="shared" si="106"/>
        <v>15</v>
      </c>
      <c r="L155" s="9">
        <f t="shared" ca="1" si="107"/>
        <v>0</v>
      </c>
      <c r="M155" s="39">
        <f ca="1"/>
        <v>5.6463503714195679E-6</v>
      </c>
      <c r="N155" s="6">
        <f t="shared" ca="1" si="108"/>
        <v>5.6463503714195679E-6</v>
      </c>
      <c r="O155" s="14">
        <f ca="1"/>
        <v>3.0288527519535932E-5</v>
      </c>
      <c r="P155" s="6">
        <f t="shared" ca="1" si="98"/>
        <v>3.0288527519535932E-5</v>
      </c>
      <c r="Q155" s="14">
        <f ca="1"/>
        <v>9.5037491959376846E-5</v>
      </c>
      <c r="R155" s="6">
        <f t="shared" ca="1" si="99"/>
        <v>9.5037491959376846E-5</v>
      </c>
      <c r="S155" s="14">
        <f ca="1"/>
        <v>2.277297892910464E-4</v>
      </c>
      <c r="T155" s="6">
        <f t="shared" ca="1" si="109"/>
        <v>2.277297892910464E-4</v>
      </c>
      <c r="U155" s="14">
        <f ca="1"/>
        <v>4.6138004108847263E-4</v>
      </c>
      <c r="V155" s="6">
        <f t="shared" ca="1" si="100"/>
        <v>4.6138004108847263E-4</v>
      </c>
      <c r="W155" s="14">
        <f ca="1"/>
        <v>8.3248470616456853E-4</v>
      </c>
      <c r="X155" s="6">
        <f t="shared" ca="1" si="101"/>
        <v>8.3248470616456853E-4</v>
      </c>
      <c r="Y155" s="14">
        <f ca="1"/>
        <v>1.3793917955521779E-3</v>
      </c>
      <c r="Z155" s="6">
        <f t="shared" ca="1" si="102"/>
        <v>1.3793917955521779E-3</v>
      </c>
      <c r="AA155" s="14">
        <f ca="1"/>
        <v>2.1408530357920476E-3</v>
      </c>
      <c r="AB155" s="6">
        <f t="shared" ca="1" si="103"/>
        <v>2.1408530357920476E-3</v>
      </c>
      <c r="AC155" s="14">
        <f ca="1"/>
        <v>3.1548114440542578E-3</v>
      </c>
      <c r="AD155" s="6">
        <f t="shared" ca="1" si="104"/>
        <v>3.1548114440542578E-3</v>
      </c>
      <c r="AE155" s="14">
        <f ca="1"/>
        <v>4.4574375227227877E-3</v>
      </c>
      <c r="AF155" s="6">
        <f t="shared" ca="1" si="105"/>
        <v>4.4574375227227877E-3</v>
      </c>
    </row>
    <row r="156" spans="7:32" x14ac:dyDescent="0.25">
      <c r="G156" s="1" t="s">
        <v>19</v>
      </c>
      <c r="H156" s="1">
        <v>9</v>
      </c>
      <c r="I156" s="1">
        <f t="shared" si="106"/>
        <v>16</v>
      </c>
      <c r="L156" s="9">
        <f t="shared" ca="1" si="107"/>
        <v>0</v>
      </c>
      <c r="M156" s="39">
        <f ca="1"/>
        <v>5.3465726855052741E-7</v>
      </c>
      <c r="N156" s="6">
        <f t="shared" ca="1" si="108"/>
        <v>5.3465726855052741E-7</v>
      </c>
      <c r="O156" s="14">
        <f ca="1"/>
        <v>3.311031660749765E-6</v>
      </c>
      <c r="P156" s="6">
        <f t="shared" ca="1" si="98"/>
        <v>3.311031660749765E-6</v>
      </c>
      <c r="Q156" s="14">
        <f ca="1"/>
        <v>1.1746047322741614E-5</v>
      </c>
      <c r="R156" s="6">
        <f t="shared" ca="1" si="99"/>
        <v>1.1746047322741614E-5</v>
      </c>
      <c r="S156" s="14">
        <f ca="1"/>
        <v>3.1320868592178636E-5</v>
      </c>
      <c r="T156" s="6">
        <f t="shared" ca="1" si="109"/>
        <v>3.1320868592178636E-5</v>
      </c>
      <c r="U156" s="14">
        <f ca="1"/>
        <v>6.9737508586235409E-5</v>
      </c>
      <c r="V156" s="6">
        <f t="shared" ca="1" si="100"/>
        <v>6.9737508586235409E-5</v>
      </c>
      <c r="W156" s="14">
        <f ca="1"/>
        <v>1.3689830590248546E-4</v>
      </c>
      <c r="X156" s="6">
        <f t="shared" ca="1" si="101"/>
        <v>1.3689830590248546E-4</v>
      </c>
      <c r="Y156" s="14">
        <f ca="1"/>
        <v>2.4474430956626463E-4</v>
      </c>
      <c r="Z156" s="6">
        <f t="shared" ca="1" si="102"/>
        <v>2.4474430956626463E-4</v>
      </c>
      <c r="AA156" s="14">
        <f ca="1"/>
        <v>4.0699244491193879E-4</v>
      </c>
      <c r="AB156" s="6">
        <f t="shared" ca="1" si="103"/>
        <v>4.0699244491193879E-4</v>
      </c>
      <c r="AC156" s="14">
        <f ca="1"/>
        <v>6.3880888988194552E-4</v>
      </c>
      <c r="AD156" s="6">
        <f t="shared" ca="1" si="104"/>
        <v>6.3880888988194552E-4</v>
      </c>
      <c r="AE156" s="14">
        <f ca="1"/>
        <v>9.5645065279187423E-4</v>
      </c>
      <c r="AF156" s="6">
        <f t="shared" ca="1" si="105"/>
        <v>9.5645065279187423E-4</v>
      </c>
    </row>
    <row r="157" spans="7:32" x14ac:dyDescent="0.25">
      <c r="G157" s="1" t="s">
        <v>19</v>
      </c>
      <c r="H157" s="1">
        <v>9</v>
      </c>
      <c r="I157" s="1">
        <f t="shared" si="106"/>
        <v>17</v>
      </c>
      <c r="L157" s="9">
        <f t="shared" ca="1" si="107"/>
        <v>0</v>
      </c>
      <c r="M157" s="39">
        <f ca="1"/>
        <v>5.5919680293076805E-8</v>
      </c>
      <c r="N157" s="6">
        <f t="shared" ca="1" si="108"/>
        <v>5.5919680293076805E-8</v>
      </c>
      <c r="O157" s="14">
        <f ca="1"/>
        <v>3.9172570341833438E-7</v>
      </c>
      <c r="P157" s="6">
        <f t="shared" ca="1" si="98"/>
        <v>3.9172570341833438E-7</v>
      </c>
      <c r="Q157" s="14">
        <f ca="1"/>
        <v>1.5471609313664477E-6</v>
      </c>
      <c r="R157" s="6">
        <f t="shared" ca="1" si="99"/>
        <v>1.5471609313664477E-6</v>
      </c>
      <c r="S157" s="14">
        <f ca="1"/>
        <v>4.5360313585716167E-6</v>
      </c>
      <c r="T157" s="6">
        <f t="shared" ca="1" si="109"/>
        <v>4.5360313585716167E-6</v>
      </c>
      <c r="U157" s="14">
        <f ca="1"/>
        <v>1.099330616673088E-5</v>
      </c>
      <c r="V157" s="6">
        <f t="shared" ca="1" si="100"/>
        <v>1.099330616673088E-5</v>
      </c>
      <c r="W157" s="14">
        <f ca="1"/>
        <v>2.329544900325148E-5</v>
      </c>
      <c r="X157" s="6">
        <f t="shared" ca="1" si="101"/>
        <v>2.329544900325148E-5</v>
      </c>
      <c r="Y157" s="14">
        <f ca="1"/>
        <v>4.4644868378726289E-5</v>
      </c>
      <c r="Z157" s="6">
        <f t="shared" ca="1" si="102"/>
        <v>4.4644868378726289E-5</v>
      </c>
      <c r="AA157" s="14">
        <f ca="1"/>
        <v>7.9114956576135375E-5</v>
      </c>
      <c r="AB157" s="6">
        <f t="shared" ca="1" si="103"/>
        <v>7.9114956576135375E-5</v>
      </c>
      <c r="AC157" s="14">
        <f ca="1"/>
        <v>1.3165645081971857E-4</v>
      </c>
      <c r="AD157" s="6">
        <f t="shared" ca="1" si="104"/>
        <v>1.3165645081971857E-4</v>
      </c>
      <c r="AE157" s="14">
        <f ca="1"/>
        <v>2.0806877437628109E-4</v>
      </c>
      <c r="AF157" s="6">
        <f t="shared" ca="1" si="105"/>
        <v>2.0806877437628109E-4</v>
      </c>
    </row>
    <row r="158" spans="7:32" x14ac:dyDescent="0.25">
      <c r="G158" s="1" t="s">
        <v>19</v>
      </c>
      <c r="H158" s="1">
        <v>9</v>
      </c>
      <c r="I158" s="1">
        <f t="shared" si="106"/>
        <v>18</v>
      </c>
      <c r="L158" s="9">
        <f t="shared" ca="1" si="107"/>
        <v>0</v>
      </c>
      <c r="M158" s="39">
        <f ca="1"/>
        <v>6.4114879789799521E-9</v>
      </c>
      <c r="N158" s="6">
        <f t="shared" ca="1" si="108"/>
        <v>6.4114879789799521E-9</v>
      </c>
      <c r="O158" s="14">
        <f ca="1"/>
        <v>5.0017926104704603E-8</v>
      </c>
      <c r="P158" s="6">
        <f t="shared" ca="1" si="98"/>
        <v>5.0017926104704603E-8</v>
      </c>
      <c r="Q158" s="14">
        <f ca="1"/>
        <v>2.1726866733341882E-7</v>
      </c>
      <c r="R158" s="6">
        <f t="shared" ca="1" si="99"/>
        <v>2.1726866733341882E-7</v>
      </c>
      <c r="S158" s="14">
        <f ca="1"/>
        <v>6.9354673937338635E-7</v>
      </c>
      <c r="T158" s="6">
        <f t="shared" ca="1" si="109"/>
        <v>6.9354673937338635E-7</v>
      </c>
      <c r="U158" s="14">
        <f ca="1"/>
        <v>1.814924790825641E-6</v>
      </c>
      <c r="V158" s="6">
        <f t="shared" ca="1" si="100"/>
        <v>1.814924790825641E-6</v>
      </c>
      <c r="W158" s="14">
        <f ca="1"/>
        <v>4.1239092028522512E-6</v>
      </c>
      <c r="X158" s="6">
        <f t="shared" ca="1" si="101"/>
        <v>4.1239092028522512E-6</v>
      </c>
      <c r="Y158" s="14">
        <f ca="1"/>
        <v>8.4245657567328703E-6</v>
      </c>
      <c r="Z158" s="6">
        <f t="shared" ca="1" si="102"/>
        <v>8.4245657567328703E-6</v>
      </c>
      <c r="AA158" s="14">
        <f ca="1"/>
        <v>1.5832933630236608E-5</v>
      </c>
      <c r="AB158" s="6">
        <f t="shared" ca="1" si="103"/>
        <v>1.5832933630236608E-5</v>
      </c>
      <c r="AC158" s="14">
        <f ca="1"/>
        <v>2.7819497424237626E-5</v>
      </c>
      <c r="AD158" s="6">
        <f t="shared" ca="1" si="104"/>
        <v>2.7819497424237626E-5</v>
      </c>
      <c r="AE158" s="14">
        <f ca="1"/>
        <v>4.6241485189641156E-5</v>
      </c>
      <c r="AF158" s="6">
        <f t="shared" ca="1" si="105"/>
        <v>4.6241485189641156E-5</v>
      </c>
    </row>
    <row r="159" spans="7:32" x14ac:dyDescent="0.25">
      <c r="G159" s="1" t="s">
        <v>19</v>
      </c>
      <c r="H159" s="1">
        <v>9</v>
      </c>
      <c r="I159" s="1">
        <f t="shared" ref="I159:I190" si="110">I158+1</f>
        <v>19</v>
      </c>
      <c r="L159" s="9">
        <f t="shared" ca="1" si="107"/>
        <v>0</v>
      </c>
      <c r="M159" s="39">
        <f ca="1"/>
        <v>8.0045753571182017E-10</v>
      </c>
      <c r="N159" s="6">
        <f t="shared" ca="1" si="108"/>
        <v>8.0045753571182017E-10</v>
      </c>
      <c r="O159" s="14">
        <f ca="1"/>
        <v>6.8690008714726951E-9</v>
      </c>
      <c r="P159" s="6">
        <f t="shared" ca="1" si="98"/>
        <v>6.8690008714726951E-9</v>
      </c>
      <c r="Q159" s="14">
        <f ca="1"/>
        <v>3.2491595904076478E-8</v>
      </c>
      <c r="R159" s="6">
        <f t="shared" ca="1" si="99"/>
        <v>3.2491595904076478E-8</v>
      </c>
      <c r="S159" s="14">
        <f ca="1"/>
        <v>1.1200776190076939E-7</v>
      </c>
      <c r="T159" s="6">
        <f t="shared" ca="1" si="109"/>
        <v>1.1200776190076939E-7</v>
      </c>
      <c r="U159" s="14">
        <f ca="1"/>
        <v>3.1434583381837314E-7</v>
      </c>
      <c r="V159" s="6">
        <f t="shared" ca="1" si="100"/>
        <v>3.1434583381837314E-7</v>
      </c>
      <c r="W159" s="14">
        <f ca="1"/>
        <v>7.614950397494477E-7</v>
      </c>
      <c r="X159" s="6">
        <f t="shared" ca="1" si="101"/>
        <v>7.614950397494477E-7</v>
      </c>
      <c r="Y159" s="14">
        <f ca="1"/>
        <v>1.6500825039079272E-6</v>
      </c>
      <c r="Z159" s="6">
        <f t="shared" ca="1" si="102"/>
        <v>1.6500825039079272E-6</v>
      </c>
      <c r="AA159" s="14">
        <f ca="1"/>
        <v>3.2749134211577799E-6</v>
      </c>
      <c r="AB159" s="6">
        <f t="shared" ca="1" si="103"/>
        <v>3.2749134211577799E-6</v>
      </c>
      <c r="AC159" s="14">
        <f ca="1"/>
        <v>6.0531874618109833E-6</v>
      </c>
      <c r="AD159" s="6">
        <f t="shared" ca="1" si="104"/>
        <v>6.0531874618109833E-6</v>
      </c>
      <c r="AE159" s="14">
        <f ca="1"/>
        <v>1.054810386324625E-5</v>
      </c>
      <c r="AF159" s="6">
        <f t="shared" ca="1" si="105"/>
        <v>1.054810386324625E-5</v>
      </c>
    </row>
    <row r="160" spans="7:32" x14ac:dyDescent="0.25">
      <c r="G160" s="26" t="s">
        <v>19</v>
      </c>
      <c r="H160" s="26">
        <v>9</v>
      </c>
      <c r="I160" s="26">
        <f t="shared" si="110"/>
        <v>20</v>
      </c>
      <c r="J160" s="49"/>
      <c r="K160" s="49"/>
      <c r="L160" s="34">
        <f t="shared" ref="L160:L167" ca="1" si="111">OFFSET($J$29,0,I160)</f>
        <v>0</v>
      </c>
      <c r="M160" s="39">
        <f ca="1"/>
        <v>1.0816538210349945E-10</v>
      </c>
      <c r="N160" s="31">
        <f t="shared" ref="N160:N167" ca="1" si="112">MAX(M160,$L160)</f>
        <v>1.0816538210349945E-10</v>
      </c>
      <c r="O160" s="39">
        <f ca="1"/>
        <v>1.0108521112518007E-9</v>
      </c>
      <c r="P160" s="31">
        <f t="shared" ref="P160:P167" ca="1" si="113">MAX(O160,$L160)</f>
        <v>1.0108521112518007E-9</v>
      </c>
      <c r="Q160" s="39">
        <f ca="1"/>
        <v>5.1641681822236759E-9</v>
      </c>
      <c r="R160" s="31">
        <f t="shared" ref="R160:R167" ca="1" si="114">MAX(Q160,$L160)</f>
        <v>5.1641681822236759E-9</v>
      </c>
      <c r="S160" s="39">
        <f ca="1"/>
        <v>1.9093750514729837E-8</v>
      </c>
      <c r="T160" s="31">
        <f t="shared" ref="T160:T167" ca="1" si="115">MAX(S160,$L160)</f>
        <v>1.9093750514729837E-8</v>
      </c>
      <c r="U160" s="39">
        <f ca="1"/>
        <v>5.7134438513373025E-8</v>
      </c>
      <c r="V160" s="31">
        <f t="shared" ref="V160:V167" ca="1" si="116">MAX(U160,$L160)</f>
        <v>5.7134438513373025E-8</v>
      </c>
      <c r="W160" s="39">
        <f ca="1"/>
        <v>1.4682410353808673E-7</v>
      </c>
      <c r="X160" s="31">
        <f t="shared" ref="X160:X167" ca="1" si="117">MAX(W160,$L160)</f>
        <v>1.4682410353808673E-7</v>
      </c>
      <c r="Y160" s="39">
        <f ca="1"/>
        <v>3.3601454300013348E-7</v>
      </c>
      <c r="Z160" s="31">
        <f t="shared" ref="Z160:Z167" ca="1" si="118">MAX(Y160,$L160)</f>
        <v>3.3601454300013348E-7</v>
      </c>
      <c r="AA160" s="39">
        <f ca="1"/>
        <v>7.0160493136624993E-7</v>
      </c>
      <c r="AB160" s="31">
        <f t="shared" ref="AB160:AB167" ca="1" si="119">MAX(AA160,$L160)</f>
        <v>7.0160493136624993E-7</v>
      </c>
      <c r="AC160" s="39">
        <f ca="1"/>
        <v>1.3596618916590338E-6</v>
      </c>
      <c r="AD160" s="31">
        <f t="shared" ref="AD160:AD167" ca="1" si="120">MAX(AC160,$L160)</f>
        <v>1.3596618916590338E-6</v>
      </c>
      <c r="AE160" s="39">
        <f ca="1"/>
        <v>2.4765792161246834E-6</v>
      </c>
      <c r="AF160" s="31">
        <f t="shared" ref="AF160:AF167" ca="1" si="121">MAX(AE160,$L160)</f>
        <v>2.4765792161246834E-6</v>
      </c>
    </row>
    <row r="161" spans="7:38" x14ac:dyDescent="0.25">
      <c r="G161" s="26" t="s">
        <v>19</v>
      </c>
      <c r="H161" s="26">
        <v>9</v>
      </c>
      <c r="I161" s="26">
        <f t="shared" si="110"/>
        <v>21</v>
      </c>
      <c r="J161" s="49"/>
      <c r="K161" s="49"/>
      <c r="L161" s="34">
        <f t="shared" ca="1" si="111"/>
        <v>0</v>
      </c>
      <c r="M161" s="39">
        <f ca="1"/>
        <v>1.5734629638435019E-11</v>
      </c>
      <c r="N161" s="31">
        <f t="shared" ca="1" si="112"/>
        <v>1.5734629638435019E-11</v>
      </c>
      <c r="O161" s="39">
        <f ca="1"/>
        <v>1.5882149974872498E-10</v>
      </c>
      <c r="P161" s="31">
        <f t="shared" ca="1" si="113"/>
        <v>1.5882149974872498E-10</v>
      </c>
      <c r="Q161" s="39">
        <f ca="1"/>
        <v>8.7026895518496837E-10</v>
      </c>
      <c r="R161" s="31">
        <f t="shared" ca="1" si="114"/>
        <v>8.7026895518496837E-10</v>
      </c>
      <c r="S161" s="39">
        <f ca="1"/>
        <v>3.4309119431936679E-9</v>
      </c>
      <c r="T161" s="31">
        <f t="shared" ca="1" si="115"/>
        <v>3.4309119431936679E-9</v>
      </c>
      <c r="U161" s="39">
        <f ca="1"/>
        <v>1.0891192009366573E-8</v>
      </c>
      <c r="V161" s="31">
        <f t="shared" ca="1" si="116"/>
        <v>1.0891192009366573E-8</v>
      </c>
      <c r="W161" s="39">
        <f ca="1"/>
        <v>2.9560884749172711E-8</v>
      </c>
      <c r="X161" s="31">
        <f t="shared" ca="1" si="117"/>
        <v>2.9560884749172711E-8</v>
      </c>
      <c r="Y161" s="39">
        <f ca="1"/>
        <v>7.1177157166688927E-8</v>
      </c>
      <c r="Z161" s="31">
        <f t="shared" ca="1" si="118"/>
        <v>7.1177157166688927E-8</v>
      </c>
      <c r="AA161" s="39">
        <f ca="1"/>
        <v>1.5583070605941728E-7</v>
      </c>
      <c r="AB161" s="31">
        <f t="shared" ca="1" si="119"/>
        <v>1.5583070605941728E-7</v>
      </c>
      <c r="AC161" s="39">
        <f ca="1"/>
        <v>3.156806992821953E-7</v>
      </c>
      <c r="AD161" s="31">
        <f t="shared" ca="1" si="120"/>
        <v>3.156806992821953E-7</v>
      </c>
      <c r="AE161" s="39">
        <f ca="1"/>
        <v>5.9943631005416451E-7</v>
      </c>
      <c r="AF161" s="31">
        <f t="shared" ca="1" si="121"/>
        <v>5.9943631005416451E-7</v>
      </c>
      <c r="AK161" s="13"/>
    </row>
    <row r="162" spans="7:38" x14ac:dyDescent="0.25">
      <c r="G162" s="26" t="s">
        <v>19</v>
      </c>
      <c r="H162" s="26">
        <v>9</v>
      </c>
      <c r="I162" s="26">
        <f t="shared" si="110"/>
        <v>22</v>
      </c>
      <c r="J162" s="49"/>
      <c r="K162" s="49"/>
      <c r="L162" s="34">
        <f t="shared" ca="1" si="111"/>
        <v>0</v>
      </c>
      <c r="M162" s="39">
        <f ca="1"/>
        <v>2.4519884351299771E-12</v>
      </c>
      <c r="N162" s="31">
        <f t="shared" ca="1" si="112"/>
        <v>2.4519884351299771E-12</v>
      </c>
      <c r="O162" s="39">
        <f ca="1"/>
        <v>2.6546579043529812E-11</v>
      </c>
      <c r="P162" s="31">
        <f t="shared" ca="1" si="113"/>
        <v>2.6546579043529812E-11</v>
      </c>
      <c r="Q162" s="39">
        <f ca="1"/>
        <v>1.5510427143535777E-10</v>
      </c>
      <c r="R162" s="31">
        <f t="shared" ca="1" si="114"/>
        <v>1.5510427143535777E-10</v>
      </c>
      <c r="S162" s="39">
        <f ca="1"/>
        <v>6.4870197271020147E-10</v>
      </c>
      <c r="T162" s="31">
        <f t="shared" ca="1" si="115"/>
        <v>6.4870197271020147E-10</v>
      </c>
      <c r="U162" s="39">
        <f ca="1"/>
        <v>2.1750078224012153E-9</v>
      </c>
      <c r="V162" s="31">
        <f t="shared" ca="1" si="116"/>
        <v>2.1750078224012153E-9</v>
      </c>
      <c r="W162" s="39">
        <f ca="1"/>
        <v>6.2111729843223796E-9</v>
      </c>
      <c r="X162" s="31">
        <f t="shared" ca="1" si="117"/>
        <v>6.2111729843223796E-9</v>
      </c>
      <c r="Y162" s="39">
        <f ca="1"/>
        <v>1.5681380599651676E-8</v>
      </c>
      <c r="Z162" s="31">
        <f t="shared" ca="1" si="118"/>
        <v>1.5681380599651676E-8</v>
      </c>
      <c r="AA162" s="39">
        <f ca="1"/>
        <v>3.5889255191880766E-8</v>
      </c>
      <c r="AB162" s="31">
        <f t="shared" ca="1" si="119"/>
        <v>3.5889255191880766E-8</v>
      </c>
      <c r="AC162" s="39">
        <f ca="1"/>
        <v>7.5795897180968691E-8</v>
      </c>
      <c r="AD162" s="31">
        <f t="shared" ca="1" si="120"/>
        <v>7.5795897180968691E-8</v>
      </c>
      <c r="AE162" s="39">
        <f ca="1"/>
        <v>1.4967984211358464E-7</v>
      </c>
      <c r="AF162" s="31">
        <f t="shared" ca="1" si="121"/>
        <v>1.4967984211358464E-7</v>
      </c>
      <c r="AG162" s="9"/>
      <c r="AH162" s="9"/>
      <c r="AI162" s="9"/>
      <c r="AK162" s="13"/>
    </row>
    <row r="163" spans="7:38" x14ac:dyDescent="0.25">
      <c r="G163" s="26" t="s">
        <v>19</v>
      </c>
      <c r="H163" s="26">
        <v>9</v>
      </c>
      <c r="I163" s="26">
        <f t="shared" si="110"/>
        <v>23</v>
      </c>
      <c r="J163" s="49"/>
      <c r="K163" s="49"/>
      <c r="L163" s="34">
        <f t="shared" ca="1" si="111"/>
        <v>0</v>
      </c>
      <c r="M163" s="39">
        <f ca="1"/>
        <v>4.0751926520710223E-13</v>
      </c>
      <c r="N163" s="31">
        <f t="shared" ca="1" si="112"/>
        <v>4.0751926520710223E-13</v>
      </c>
      <c r="O163" s="39">
        <f ca="1"/>
        <v>4.7044386594982239E-12</v>
      </c>
      <c r="P163" s="31">
        <f t="shared" ca="1" si="113"/>
        <v>4.7044386594982239E-12</v>
      </c>
      <c r="Q163" s="39">
        <f ca="1"/>
        <v>2.9159959966305188E-11</v>
      </c>
      <c r="R163" s="31">
        <f t="shared" ca="1" si="114"/>
        <v>2.9159959966305188E-11</v>
      </c>
      <c r="S163" s="39">
        <f ca="1"/>
        <v>1.2881224168423536E-10</v>
      </c>
      <c r="T163" s="31">
        <f t="shared" ca="1" si="115"/>
        <v>1.2881224168423536E-10</v>
      </c>
      <c r="U163" s="39">
        <f ca="1"/>
        <v>4.544051800620411E-10</v>
      </c>
      <c r="V163" s="31">
        <f t="shared" ca="1" si="116"/>
        <v>4.544051800620411E-10</v>
      </c>
      <c r="W163" s="39">
        <f ca="1"/>
        <v>1.3606431141502261E-9</v>
      </c>
      <c r="X163" s="31">
        <f t="shared" ca="1" si="117"/>
        <v>1.3606431141502261E-9</v>
      </c>
      <c r="Y163" s="39">
        <f ca="1"/>
        <v>3.5910745634453819E-9</v>
      </c>
      <c r="Z163" s="31">
        <f t="shared" ca="1" si="118"/>
        <v>3.5910745634453819E-9</v>
      </c>
      <c r="AA163" s="39">
        <f ca="1"/>
        <v>8.568282461837379E-9</v>
      </c>
      <c r="AB163" s="31">
        <f t="shared" ca="1" si="119"/>
        <v>8.568282461837379E-9</v>
      </c>
      <c r="AC163" s="39">
        <f ca="1"/>
        <v>1.8819227415138091E-8</v>
      </c>
      <c r="AD163" s="31">
        <f t="shared" ca="1" si="120"/>
        <v>1.8819227415138091E-8</v>
      </c>
      <c r="AE163" s="39">
        <f ca="1"/>
        <v>3.8564261820782007E-8</v>
      </c>
      <c r="AF163" s="31">
        <f t="shared" ca="1" si="121"/>
        <v>3.8564261820782007E-8</v>
      </c>
      <c r="AK163" s="13"/>
    </row>
    <row r="164" spans="7:38" x14ac:dyDescent="0.25">
      <c r="G164" s="26" t="s">
        <v>19</v>
      </c>
      <c r="H164" s="26">
        <v>9</v>
      </c>
      <c r="I164" s="26">
        <f t="shared" si="110"/>
        <v>24</v>
      </c>
      <c r="J164" s="49"/>
      <c r="K164" s="49"/>
      <c r="L164" s="34">
        <f t="shared" ca="1" si="111"/>
        <v>0</v>
      </c>
      <c r="M164" s="39">
        <f ca="1"/>
        <v>7.1943968120649232E-14</v>
      </c>
      <c r="N164" s="31">
        <f t="shared" ca="1" si="112"/>
        <v>7.1943968120649232E-14</v>
      </c>
      <c r="O164" s="39">
        <f ca="1"/>
        <v>8.8107358766436211E-13</v>
      </c>
      <c r="P164" s="31">
        <f t="shared" ca="1" si="113"/>
        <v>8.8107358766436211E-13</v>
      </c>
      <c r="Q164" s="39">
        <f ca="1"/>
        <v>5.7681207225093259E-12</v>
      </c>
      <c r="R164" s="31">
        <f t="shared" ca="1" si="114"/>
        <v>5.7681207225093259E-12</v>
      </c>
      <c r="S164" s="39">
        <f ca="1"/>
        <v>2.6808331041416466E-11</v>
      </c>
      <c r="T164" s="31">
        <f t="shared" ca="1" si="115"/>
        <v>2.6808331041416466E-11</v>
      </c>
      <c r="U164" s="39">
        <f ca="1"/>
        <v>9.9160652706477421E-11</v>
      </c>
      <c r="V164" s="31">
        <f t="shared" ca="1" si="116"/>
        <v>9.9160652706477421E-11</v>
      </c>
      <c r="W164" s="39">
        <f ca="1"/>
        <v>3.1038872553695469E-10</v>
      </c>
      <c r="X164" s="31">
        <f t="shared" ca="1" si="117"/>
        <v>3.1038872553695469E-10</v>
      </c>
      <c r="Y164" s="39">
        <f ca="1"/>
        <v>8.5402836234831244E-10</v>
      </c>
      <c r="Z164" s="31">
        <f t="shared" ca="1" si="118"/>
        <v>8.5402836234831244E-10</v>
      </c>
      <c r="AA164" s="39">
        <f ca="1"/>
        <v>2.1191725272036689E-9</v>
      </c>
      <c r="AB164" s="31">
        <f t="shared" ca="1" si="119"/>
        <v>2.1191725272036689E-9</v>
      </c>
      <c r="AC164" s="39">
        <f ca="1"/>
        <v>4.8299078214524499E-9</v>
      </c>
      <c r="AD164" s="31">
        <f t="shared" ca="1" si="120"/>
        <v>4.8299078214524499E-9</v>
      </c>
      <c r="AE164" s="39">
        <f ca="1"/>
        <v>1.0249770204037788E-8</v>
      </c>
      <c r="AF164" s="31">
        <f t="shared" ca="1" si="121"/>
        <v>1.0249770204037788E-8</v>
      </c>
      <c r="AL164" s="5"/>
    </row>
    <row r="165" spans="7:38" x14ac:dyDescent="0.25">
      <c r="G165" s="26" t="s">
        <v>19</v>
      </c>
      <c r="H165" s="26">
        <v>9</v>
      </c>
      <c r="I165" s="26">
        <f t="shared" si="110"/>
        <v>25</v>
      </c>
      <c r="J165" s="49"/>
      <c r="K165" s="49"/>
      <c r="L165" s="34">
        <f t="shared" ca="1" si="111"/>
        <v>0</v>
      </c>
      <c r="M165" s="39">
        <f ca="1"/>
        <v>1.3441873670448513E-14</v>
      </c>
      <c r="N165" s="31">
        <f t="shared" ca="1" si="112"/>
        <v>1.3441873670448513E-14</v>
      </c>
      <c r="O165" s="39">
        <f ca="1"/>
        <v>1.7386516458137106E-13</v>
      </c>
      <c r="P165" s="31">
        <f t="shared" ca="1" si="113"/>
        <v>1.7386516458137106E-13</v>
      </c>
      <c r="Q165" s="39">
        <f ca="1"/>
        <v>1.1975453635138567E-12</v>
      </c>
      <c r="R165" s="31">
        <f t="shared" ca="1" si="114"/>
        <v>1.1975453635138567E-12</v>
      </c>
      <c r="S165" s="39">
        <f ca="1"/>
        <v>5.8358378885693235E-12</v>
      </c>
      <c r="T165" s="31">
        <f t="shared" ca="1" si="115"/>
        <v>5.8358378885693235E-12</v>
      </c>
      <c r="U165" s="39">
        <f ca="1"/>
        <v>2.2564788489673241E-11</v>
      </c>
      <c r="V165" s="31">
        <f t="shared" ca="1" si="116"/>
        <v>2.2564788489673241E-11</v>
      </c>
      <c r="W165" s="39">
        <f ca="1"/>
        <v>7.3633839868643876E-11</v>
      </c>
      <c r="X165" s="31">
        <f t="shared" ca="1" si="117"/>
        <v>7.3633839868643876E-11</v>
      </c>
      <c r="Y165" s="39">
        <f ca="1"/>
        <v>2.1069907768413274E-10</v>
      </c>
      <c r="Z165" s="31">
        <f t="shared" ca="1" si="118"/>
        <v>2.1069907768413274E-10</v>
      </c>
      <c r="AA165" s="39">
        <f ca="1"/>
        <v>5.4252041926803347E-10</v>
      </c>
      <c r="AB165" s="31">
        <f t="shared" ca="1" si="119"/>
        <v>5.4252041926803347E-10</v>
      </c>
      <c r="AC165" s="39">
        <f ca="1"/>
        <v>1.2804905901652675E-9</v>
      </c>
      <c r="AD165" s="31">
        <f t="shared" ca="1" si="120"/>
        <v>1.2804905901652675E-9</v>
      </c>
      <c r="AE165" s="39">
        <f ca="1"/>
        <v>2.808951398594156E-9</v>
      </c>
      <c r="AF165" s="31">
        <f t="shared" ca="1" si="121"/>
        <v>2.808951398594156E-9</v>
      </c>
      <c r="AL165" s="7"/>
    </row>
    <row r="166" spans="7:38" x14ac:dyDescent="0.25">
      <c r="G166" s="26" t="s">
        <v>19</v>
      </c>
      <c r="H166" s="26">
        <v>9</v>
      </c>
      <c r="I166" s="26">
        <f t="shared" si="110"/>
        <v>26</v>
      </c>
      <c r="J166" s="49"/>
      <c r="K166" s="49"/>
      <c r="L166" s="34">
        <f t="shared" ca="1" si="111"/>
        <v>0</v>
      </c>
      <c r="M166" s="39">
        <f ca="1"/>
        <v>2.6490097611937888E-15</v>
      </c>
      <c r="N166" s="31">
        <f t="shared" ca="1" si="112"/>
        <v>2.6490097611937888E-15</v>
      </c>
      <c r="O166" s="39">
        <f ca="1"/>
        <v>3.604827994341465E-14</v>
      </c>
      <c r="P166" s="31">
        <f t="shared" ca="1" si="113"/>
        <v>3.604827994341465E-14</v>
      </c>
      <c r="Q166" s="39">
        <f ca="1"/>
        <v>2.6033394877200158E-13</v>
      </c>
      <c r="R166" s="31">
        <f t="shared" ca="1" si="114"/>
        <v>2.6033394877200158E-13</v>
      </c>
      <c r="S166" s="39">
        <f ca="1"/>
        <v>1.3261474154761246E-12</v>
      </c>
      <c r="T166" s="31">
        <f t="shared" ca="1" si="115"/>
        <v>1.3261474154761246E-12</v>
      </c>
      <c r="U166" s="39">
        <f ca="1"/>
        <v>5.345534766313709E-12</v>
      </c>
      <c r="V166" s="31">
        <f t="shared" ca="1" si="116"/>
        <v>5.345534766313709E-12</v>
      </c>
      <c r="W166" s="39">
        <f ca="1"/>
        <v>1.8140461728521753E-11</v>
      </c>
      <c r="X166" s="31">
        <f t="shared" ca="1" si="117"/>
        <v>1.8140461728521753E-11</v>
      </c>
      <c r="Y166" s="39">
        <f ca="1"/>
        <v>5.3862396642803478E-11</v>
      </c>
      <c r="Z166" s="31">
        <f t="shared" ca="1" si="118"/>
        <v>5.3862396642803478E-11</v>
      </c>
      <c r="AA166" s="39">
        <f ca="1"/>
        <v>1.4362175294062863E-10</v>
      </c>
      <c r="AB166" s="31">
        <f t="shared" ca="1" si="119"/>
        <v>1.4362175294062863E-10</v>
      </c>
      <c r="AC166" s="39">
        <f ca="1"/>
        <v>3.5040236612800355E-10</v>
      </c>
      <c r="AD166" s="31">
        <f t="shared" ca="1" si="120"/>
        <v>3.5040236612800355E-10</v>
      </c>
      <c r="AE166" s="39">
        <f ca="1"/>
        <v>7.9322023141515607E-10</v>
      </c>
      <c r="AF166" s="31">
        <f t="shared" ca="1" si="121"/>
        <v>7.9322023141515607E-10</v>
      </c>
      <c r="AL166" s="7"/>
    </row>
    <row r="167" spans="7:38" x14ac:dyDescent="0.25">
      <c r="G167" s="26" t="s">
        <v>19</v>
      </c>
      <c r="H167" s="26">
        <v>9</v>
      </c>
      <c r="I167" s="26">
        <f t="shared" si="110"/>
        <v>27</v>
      </c>
      <c r="J167" s="49"/>
      <c r="K167" s="49"/>
      <c r="L167" s="34">
        <f t="shared" ca="1" si="111"/>
        <v>0</v>
      </c>
      <c r="M167" s="39">
        <f ca="1"/>
        <v>5.4894175068897453E-16</v>
      </c>
      <c r="N167" s="31">
        <f t="shared" ca="1" si="112"/>
        <v>5.4894175068897453E-16</v>
      </c>
      <c r="O167" s="39">
        <f ca="1"/>
        <v>7.832222909763462E-15</v>
      </c>
      <c r="P167" s="31">
        <f t="shared" ca="1" si="113"/>
        <v>7.832222909763462E-15</v>
      </c>
      <c r="Q167" s="39">
        <f ca="1"/>
        <v>5.9125116076319697E-14</v>
      </c>
      <c r="R167" s="31">
        <f t="shared" ca="1" si="114"/>
        <v>5.9125116076319697E-14</v>
      </c>
      <c r="S167" s="39">
        <f ca="1"/>
        <v>3.1397526907021653E-13</v>
      </c>
      <c r="T167" s="31">
        <f t="shared" ca="1" si="115"/>
        <v>3.1397526907021653E-13</v>
      </c>
      <c r="U167" s="39">
        <f ca="1"/>
        <v>1.3161251975178675E-12</v>
      </c>
      <c r="V167" s="31">
        <f t="shared" ca="1" si="116"/>
        <v>1.3161251975178675E-12</v>
      </c>
      <c r="W167" s="39">
        <f ca="1"/>
        <v>4.634451104472724E-12</v>
      </c>
      <c r="X167" s="31">
        <f t="shared" ca="1" si="117"/>
        <v>4.634451104472724E-12</v>
      </c>
      <c r="Y167" s="39">
        <f ca="1"/>
        <v>1.4249805228657073E-11</v>
      </c>
      <c r="Z167" s="31">
        <f t="shared" ca="1" si="118"/>
        <v>1.4249805228657073E-11</v>
      </c>
      <c r="AA167" s="39">
        <f ca="1"/>
        <v>3.9275582892114033E-11</v>
      </c>
      <c r="AB167" s="31">
        <f t="shared" ca="1" si="119"/>
        <v>3.9275582892114033E-11</v>
      </c>
      <c r="AC167" s="39">
        <f ca="1"/>
        <v>9.8882974112389505E-11</v>
      </c>
      <c r="AD167" s="31">
        <f t="shared" ca="1" si="120"/>
        <v>9.8882974112389505E-11</v>
      </c>
      <c r="AE167" s="39">
        <f ca="1"/>
        <v>2.306387760296503E-10</v>
      </c>
      <c r="AF167" s="31">
        <f t="shared" ca="1" si="121"/>
        <v>2.306387760296503E-10</v>
      </c>
      <c r="AL167" s="7"/>
    </row>
    <row r="168" spans="7:38" x14ac:dyDescent="0.25">
      <c r="G168" s="26" t="s">
        <v>19</v>
      </c>
      <c r="H168" s="26">
        <v>9</v>
      </c>
      <c r="I168" s="26">
        <f t="shared" si="110"/>
        <v>28</v>
      </c>
      <c r="J168" s="49"/>
      <c r="K168" s="49"/>
      <c r="L168" s="34">
        <f t="shared" ref="L168:L179" ca="1" si="122">OFFSET($J$29,0,I168)</f>
        <v>0</v>
      </c>
      <c r="M168" s="39">
        <f ca="1"/>
        <v>1.1927709994865617E-16</v>
      </c>
      <c r="N168" s="31">
        <f t="shared" ref="N168:N179" ca="1" si="123">MAX(M168,$L168)</f>
        <v>1.1927709994865617E-16</v>
      </c>
      <c r="O168" s="39">
        <f ca="1"/>
        <v>1.7788855505642028E-15</v>
      </c>
      <c r="P168" s="31">
        <f t="shared" ref="P168:P179" ca="1" si="124">MAX(O168,$L168)</f>
        <v>1.7788855505642028E-15</v>
      </c>
      <c r="Q168" s="39">
        <f ca="1"/>
        <v>1.3998736749611423E-14</v>
      </c>
      <c r="R168" s="31">
        <f t="shared" ref="R168:R179" ca="1" si="125">MAX(Q168,$L168)</f>
        <v>1.3998736749611423E-14</v>
      </c>
      <c r="S168" s="39">
        <f ca="1"/>
        <v>7.7304757493161019E-14</v>
      </c>
      <c r="T168" s="31">
        <f t="shared" ref="T168:T179" ca="1" si="126">MAX(S168,$L168)</f>
        <v>7.7304757493161019E-14</v>
      </c>
      <c r="U168" s="39">
        <f ca="1"/>
        <v>3.3623554858233349E-13</v>
      </c>
      <c r="V168" s="31">
        <f t="shared" ref="V168:V179" ca="1" si="127">MAX(U168,$L168)</f>
        <v>3.3623554858233349E-13</v>
      </c>
      <c r="W168" s="39">
        <f ca="1"/>
        <v>1.2260551074789977E-12</v>
      </c>
      <c r="X168" s="31">
        <f t="shared" ref="X168:X179" ca="1" si="128">MAX(W168,$L168)</f>
        <v>1.2260551074789977E-12</v>
      </c>
      <c r="Y168" s="39">
        <f ca="1"/>
        <v>3.8966559258781889E-12</v>
      </c>
      <c r="Z168" s="31">
        <f t="shared" ref="Z168:Z179" ca="1" si="129">MAX(Y168,$L168)</f>
        <v>3.8966559258781889E-12</v>
      </c>
      <c r="AA168" s="39">
        <f ca="1"/>
        <v>1.1082824984496875E-11</v>
      </c>
      <c r="AB168" s="31">
        <f t="shared" ref="AB168:AB179" ca="1" si="130">MAX(AA168,$L168)</f>
        <v>1.1082824984496875E-11</v>
      </c>
      <c r="AC168" s="39">
        <f ca="1"/>
        <v>2.8749243226474753E-11</v>
      </c>
      <c r="AD168" s="31">
        <f t="shared" ref="AD168:AD179" ca="1" si="131">MAX(AC168,$L168)</f>
        <v>2.8749243226474753E-11</v>
      </c>
      <c r="AE168" s="39">
        <f ca="1"/>
        <v>6.8992036973027532E-11</v>
      </c>
      <c r="AF168" s="31">
        <f t="shared" ref="AF168:AF179" ca="1" si="132">MAX(AE168,$L168)</f>
        <v>6.8992036973027532E-11</v>
      </c>
      <c r="AL168" s="7"/>
    </row>
    <row r="169" spans="7:38" x14ac:dyDescent="0.25">
      <c r="G169" s="26" t="s">
        <v>19</v>
      </c>
      <c r="H169" s="26">
        <v>9</v>
      </c>
      <c r="I169" s="26">
        <f t="shared" si="110"/>
        <v>29</v>
      </c>
      <c r="J169" s="49"/>
      <c r="K169" s="49"/>
      <c r="L169" s="34">
        <f t="shared" ca="1" si="122"/>
        <v>0</v>
      </c>
      <c r="M169" s="39">
        <f ca="1"/>
        <v>2.7104562749660977E-17</v>
      </c>
      <c r="N169" s="31">
        <f t="shared" ca="1" si="123"/>
        <v>2.7104562749660977E-17</v>
      </c>
      <c r="O169" s="39">
        <f ca="1"/>
        <v>4.2138547702381797E-16</v>
      </c>
      <c r="P169" s="31">
        <f t="shared" ca="1" si="124"/>
        <v>4.2138547702381797E-16</v>
      </c>
      <c r="Q169" s="39">
        <f ca="1"/>
        <v>3.4483125768987083E-15</v>
      </c>
      <c r="R169" s="31">
        <f t="shared" ca="1" si="125"/>
        <v>3.4483125768987083E-15</v>
      </c>
      <c r="S169" s="39">
        <f ca="1"/>
        <v>1.9758408311636631E-14</v>
      </c>
      <c r="T169" s="31">
        <f t="shared" ca="1" si="126"/>
        <v>1.9758408311636631E-14</v>
      </c>
      <c r="U169" s="39">
        <f ca="1"/>
        <v>8.8991195132887192E-14</v>
      </c>
      <c r="V169" s="31">
        <f t="shared" ca="1" si="127"/>
        <v>8.8991195132887192E-14</v>
      </c>
      <c r="W169" s="39">
        <f ca="1"/>
        <v>3.3541109553352061E-13</v>
      </c>
      <c r="X169" s="31">
        <f t="shared" ca="1" si="128"/>
        <v>3.3541109553352061E-13</v>
      </c>
      <c r="Y169" s="39">
        <f ca="1"/>
        <v>1.1000108910518285E-12</v>
      </c>
      <c r="Z169" s="31">
        <f t="shared" ca="1" si="129"/>
        <v>1.1000108910518285E-12</v>
      </c>
      <c r="AA169" s="39">
        <f ca="1"/>
        <v>3.2234838137137519E-12</v>
      </c>
      <c r="AB169" s="31">
        <f t="shared" ca="1" si="130"/>
        <v>3.2234838137137519E-12</v>
      </c>
      <c r="AC169" s="39">
        <f ca="1"/>
        <v>8.6031300566879559E-12</v>
      </c>
      <c r="AD169" s="31">
        <f t="shared" ca="1" si="131"/>
        <v>8.6031300566879559E-12</v>
      </c>
      <c r="AE169" s="39">
        <f ca="1"/>
        <v>2.1213661172980595E-11</v>
      </c>
      <c r="AF169" s="31">
        <f t="shared" ca="1" si="132"/>
        <v>2.1213661172980595E-11</v>
      </c>
      <c r="AL169" s="7"/>
    </row>
    <row r="170" spans="7:38" x14ac:dyDescent="0.25">
      <c r="G170" s="26" t="s">
        <v>19</v>
      </c>
      <c r="H170" s="26">
        <v>9</v>
      </c>
      <c r="I170" s="26">
        <f t="shared" si="110"/>
        <v>30</v>
      </c>
      <c r="J170" s="49"/>
      <c r="K170" s="49"/>
      <c r="L170" s="34">
        <f t="shared" ca="1" si="122"/>
        <v>0</v>
      </c>
      <c r="M170" s="39">
        <f ca="1"/>
        <v>6.4259323731875944E-18</v>
      </c>
      <c r="N170" s="31">
        <f t="shared" ca="1" si="123"/>
        <v>6.4259323731875944E-18</v>
      </c>
      <c r="O170" s="39">
        <f ca="1"/>
        <v>1.0388503969132996E-16</v>
      </c>
      <c r="P170" s="31">
        <f t="shared" ca="1" si="124"/>
        <v>1.0388503969132996E-16</v>
      </c>
      <c r="Q170" s="39">
        <f ca="1"/>
        <v>8.820666214292201E-16</v>
      </c>
      <c r="R170" s="31">
        <f t="shared" ca="1" si="125"/>
        <v>8.820666214292201E-16</v>
      </c>
      <c r="S170" s="39">
        <f ca="1"/>
        <v>5.2335661952166522E-15</v>
      </c>
      <c r="T170" s="31">
        <f t="shared" ca="1" si="126"/>
        <v>5.2335661952166522E-15</v>
      </c>
      <c r="U170" s="39">
        <f ca="1"/>
        <v>2.4364089261043681E-14</v>
      </c>
      <c r="V170" s="31">
        <f t="shared" ca="1" si="127"/>
        <v>2.4364089261043681E-14</v>
      </c>
      <c r="W170" s="39">
        <f ca="1"/>
        <v>9.4757041926493986E-14</v>
      </c>
      <c r="X170" s="31">
        <f t="shared" ca="1" si="128"/>
        <v>9.4757041926493986E-14</v>
      </c>
      <c r="Y170" s="39">
        <f ca="1"/>
        <v>3.2018037277081032E-13</v>
      </c>
      <c r="Z170" s="31">
        <f t="shared" ca="1" si="129"/>
        <v>3.2018037277081032E-13</v>
      </c>
      <c r="AA170" s="39">
        <f ca="1"/>
        <v>9.6532150695247711E-13</v>
      </c>
      <c r="AB170" s="31">
        <f t="shared" ca="1" si="130"/>
        <v>9.6532150695247711E-13</v>
      </c>
      <c r="AC170" s="39">
        <f ca="1"/>
        <v>2.6471799530574805E-12</v>
      </c>
      <c r="AD170" s="31">
        <f t="shared" ca="1" si="131"/>
        <v>2.6471799530574805E-12</v>
      </c>
      <c r="AE170" s="39">
        <f ca="1"/>
        <v>6.6987913568758495E-12</v>
      </c>
      <c r="AF170" s="31">
        <f t="shared" ca="1" si="132"/>
        <v>6.6987913568758495E-12</v>
      </c>
      <c r="AL170" s="7"/>
    </row>
    <row r="171" spans="7:38" x14ac:dyDescent="0.25">
      <c r="G171" s="26" t="s">
        <v>19</v>
      </c>
      <c r="H171" s="26">
        <v>9</v>
      </c>
      <c r="I171" s="26">
        <f t="shared" si="110"/>
        <v>31</v>
      </c>
      <c r="J171" s="49"/>
      <c r="K171" s="49"/>
      <c r="L171" s="34">
        <f t="shared" ca="1" si="122"/>
        <v>0</v>
      </c>
      <c r="M171" s="39">
        <f ca="1"/>
        <v>1.5858826839713482E-18</v>
      </c>
      <c r="N171" s="31">
        <f t="shared" ca="1" si="123"/>
        <v>1.5858826839713482E-18</v>
      </c>
      <c r="O171" s="39">
        <f ca="1"/>
        <v>2.6601367835591709E-17</v>
      </c>
      <c r="P171" s="31">
        <f t="shared" ca="1" si="124"/>
        <v>2.6601367835591709E-17</v>
      </c>
      <c r="Q171" s="39">
        <f ca="1"/>
        <v>2.3388260514011894E-16</v>
      </c>
      <c r="R171" s="31">
        <f t="shared" ca="1" si="125"/>
        <v>2.3388260514011894E-16</v>
      </c>
      <c r="S171" s="39">
        <f ca="1"/>
        <v>1.4343201888159805E-15</v>
      </c>
      <c r="T171" s="31">
        <f t="shared" ca="1" si="126"/>
        <v>1.4343201888159805E-15</v>
      </c>
      <c r="U171" s="39">
        <f ca="1"/>
        <v>6.890074844017478E-15</v>
      </c>
      <c r="V171" s="31">
        <f t="shared" ca="1" si="127"/>
        <v>6.890074844017478E-15</v>
      </c>
      <c r="W171" s="39">
        <f ca="1"/>
        <v>2.7608534457238653E-14</v>
      </c>
      <c r="X171" s="31">
        <f t="shared" ca="1" si="128"/>
        <v>2.7608534457238653E-14</v>
      </c>
      <c r="Y171" s="39">
        <f ca="1"/>
        <v>9.5977587676374361E-14</v>
      </c>
      <c r="Z171" s="31">
        <f t="shared" ca="1" si="129"/>
        <v>9.5977587676374361E-14</v>
      </c>
      <c r="AA171" s="39">
        <f ca="1"/>
        <v>2.9731866360853024E-13</v>
      </c>
      <c r="AB171" s="31">
        <f t="shared" ca="1" si="130"/>
        <v>2.9731866360853024E-13</v>
      </c>
      <c r="AC171" s="39">
        <f ca="1"/>
        <v>8.3672391999190954E-13</v>
      </c>
      <c r="AD171" s="31">
        <f t="shared" ca="1" si="131"/>
        <v>8.3672391999190954E-13</v>
      </c>
      <c r="AE171" s="39">
        <f ca="1"/>
        <v>2.1704737314014347E-12</v>
      </c>
      <c r="AF171" s="31">
        <f t="shared" ca="1" si="132"/>
        <v>2.1704737314014347E-12</v>
      </c>
      <c r="AL171" s="7"/>
    </row>
    <row r="172" spans="7:38" x14ac:dyDescent="0.25">
      <c r="G172" s="26" t="s">
        <v>19</v>
      </c>
      <c r="H172" s="26">
        <v>9</v>
      </c>
      <c r="I172" s="26">
        <f t="shared" si="110"/>
        <v>32</v>
      </c>
      <c r="J172" s="49"/>
      <c r="K172" s="49"/>
      <c r="L172" s="34">
        <f t="shared" ca="1" si="122"/>
        <v>0</v>
      </c>
      <c r="M172" s="39">
        <f ca="1"/>
        <v>4.0658483690515692E-19</v>
      </c>
      <c r="N172" s="31">
        <f t="shared" ca="1" si="123"/>
        <v>4.0658483690515692E-19</v>
      </c>
      <c r="O172" s="39">
        <f ca="1"/>
        <v>7.0619676205865086E-18</v>
      </c>
      <c r="P172" s="31">
        <f t="shared" ca="1" si="124"/>
        <v>7.0619676205865086E-18</v>
      </c>
      <c r="Q172" s="39">
        <f ca="1"/>
        <v>6.4175221997201013E-17</v>
      </c>
      <c r="R172" s="31">
        <f t="shared" ca="1" si="125"/>
        <v>6.4175221997201013E-17</v>
      </c>
      <c r="S172" s="39">
        <f ca="1"/>
        <v>4.0610341130203263E-16</v>
      </c>
      <c r="T172" s="31">
        <f t="shared" ca="1" si="126"/>
        <v>4.0610341130203263E-16</v>
      </c>
      <c r="U172" s="39">
        <f ca="1"/>
        <v>2.0098709469219297E-15</v>
      </c>
      <c r="V172" s="31">
        <f t="shared" ca="1" si="127"/>
        <v>2.0098709469219297E-15</v>
      </c>
      <c r="W172" s="39">
        <f ca="1"/>
        <v>8.2856465551595415E-15</v>
      </c>
      <c r="X172" s="31">
        <f t="shared" ca="1" si="128"/>
        <v>8.2856465551595415E-15</v>
      </c>
      <c r="Y172" s="39">
        <f ca="1"/>
        <v>2.9595349922477641E-14</v>
      </c>
      <c r="Z172" s="31">
        <f t="shared" ca="1" si="129"/>
        <v>2.9595349922477641E-14</v>
      </c>
      <c r="AA172" s="39">
        <f ca="1"/>
        <v>9.4084893241997242E-14</v>
      </c>
      <c r="AB172" s="31">
        <f t="shared" ca="1" si="130"/>
        <v>9.4084893241997242E-14</v>
      </c>
      <c r="AC172" s="39">
        <f ca="1"/>
        <v>2.7141563129980655E-13</v>
      </c>
      <c r="AD172" s="31">
        <f t="shared" ca="1" si="131"/>
        <v>2.7141563129980655E-13</v>
      </c>
      <c r="AE172" s="39">
        <f ca="1"/>
        <v>7.2095256295983602E-13</v>
      </c>
      <c r="AF172" s="31">
        <f t="shared" ca="1" si="132"/>
        <v>7.2095256295983602E-13</v>
      </c>
      <c r="AL172" s="7"/>
    </row>
    <row r="173" spans="7:38" x14ac:dyDescent="0.25">
      <c r="G173" s="26" t="s">
        <v>19</v>
      </c>
      <c r="H173" s="26">
        <v>9</v>
      </c>
      <c r="I173" s="26">
        <f t="shared" si="110"/>
        <v>33</v>
      </c>
      <c r="J173" s="49"/>
      <c r="K173" s="49"/>
      <c r="L173" s="34">
        <f t="shared" ca="1" si="122"/>
        <v>0</v>
      </c>
      <c r="M173" s="39">
        <f ca="1"/>
        <v>1.080799637210663E-19</v>
      </c>
      <c r="N173" s="31">
        <f ca="1">MAX(M173,$L173)</f>
        <v>1.080799637210663E-19</v>
      </c>
      <c r="O173" s="39">
        <f ca="1"/>
        <v>1.9402818791706477E-18</v>
      </c>
      <c r="P173" s="31">
        <f t="shared" ca="1" si="124"/>
        <v>1.9402818791706477E-18</v>
      </c>
      <c r="Q173" s="39">
        <f ca="1"/>
        <v>1.8193853622576705E-17</v>
      </c>
      <c r="R173" s="31">
        <f t="shared" ca="1" si="125"/>
        <v>1.8193853622576705E-17</v>
      </c>
      <c r="S173" s="39">
        <f ca="1"/>
        <v>1.1861636441901125E-16</v>
      </c>
      <c r="T173" s="31">
        <f t="shared" ca="1" si="126"/>
        <v>1.1861636441901125E-16</v>
      </c>
      <c r="U173" s="39">
        <f ca="1"/>
        <v>6.0396498433844403E-16</v>
      </c>
      <c r="V173" s="31">
        <f t="shared" ca="1" si="127"/>
        <v>6.0396498433844403E-16</v>
      </c>
      <c r="W173" s="39">
        <f ca="1"/>
        <v>2.5582164202534904E-15</v>
      </c>
      <c r="X173" s="31">
        <f t="shared" ca="1" si="128"/>
        <v>2.5582164202534904E-15</v>
      </c>
      <c r="Y173" s="39">
        <f ca="1"/>
        <v>9.3772403814979128E-15</v>
      </c>
      <c r="Z173" s="31">
        <f t="shared" ca="1" si="129"/>
        <v>9.3772403814979128E-15</v>
      </c>
      <c r="AA173" s="39">
        <f ca="1"/>
        <v>3.0557863201949702E-14</v>
      </c>
      <c r="AB173" s="31">
        <f t="shared" ca="1" si="130"/>
        <v>3.0557863201949702E-14</v>
      </c>
      <c r="AC173" s="39">
        <f ca="1"/>
        <v>9.02680319493788E-14</v>
      </c>
      <c r="AD173" s="31">
        <f t="shared" ca="1" si="131"/>
        <v>9.02680319493788E-14</v>
      </c>
      <c r="AE173" s="39">
        <f ca="1"/>
        <v>2.4528827704730172E-13</v>
      </c>
      <c r="AF173" s="31">
        <f t="shared" ca="1" si="132"/>
        <v>2.4528827704730172E-13</v>
      </c>
      <c r="AL173" s="7"/>
    </row>
    <row r="174" spans="7:38" x14ac:dyDescent="0.25">
      <c r="G174" s="26" t="s">
        <v>19</v>
      </c>
      <c r="H174" s="26">
        <v>9</v>
      </c>
      <c r="I174" s="26">
        <f t="shared" si="110"/>
        <v>34</v>
      </c>
      <c r="J174" s="49"/>
      <c r="K174" s="49"/>
      <c r="L174" s="34">
        <f t="shared" ca="1" si="122"/>
        <v>0</v>
      </c>
      <c r="M174" s="39">
        <f ca="1"/>
        <v>2.9735858065167245E-20</v>
      </c>
      <c r="N174" s="31">
        <f t="shared" ca="1" si="123"/>
        <v>2.9735858065167245E-20</v>
      </c>
      <c r="O174" s="39">
        <f ca="1"/>
        <v>5.5082929328707746E-19</v>
      </c>
      <c r="P174" s="31">
        <f t="shared" ca="1" si="124"/>
        <v>5.5082929328707746E-19</v>
      </c>
      <c r="Q174" s="39">
        <f ca="1"/>
        <v>5.3214008095831203E-18</v>
      </c>
      <c r="R174" s="31">
        <f t="shared" ca="1" si="125"/>
        <v>5.3214008095831203E-18</v>
      </c>
      <c r="S174" s="39">
        <f ca="1"/>
        <v>3.5692723321314289E-17</v>
      </c>
      <c r="T174" s="31">
        <f t="shared" ca="1" si="126"/>
        <v>3.5692723321314289E-17</v>
      </c>
      <c r="U174" s="39">
        <f ca="1"/>
        <v>1.8672914956525307E-16</v>
      </c>
      <c r="V174" s="31">
        <f t="shared" ca="1" si="127"/>
        <v>1.8672914956525307E-16</v>
      </c>
      <c r="W174" s="39">
        <f ca="1"/>
        <v>8.1166378053468338E-16</v>
      </c>
      <c r="X174" s="31">
        <f t="shared" ca="1" si="128"/>
        <v>8.1166378053468338E-16</v>
      </c>
      <c r="Y174" s="39">
        <f ca="1"/>
        <v>3.0497424070549764E-15</v>
      </c>
      <c r="Z174" s="31">
        <f t="shared" ca="1" si="129"/>
        <v>3.0497424070549764E-15</v>
      </c>
      <c r="AA174" s="39">
        <f ca="1"/>
        <v>1.0176647591614593E-14</v>
      </c>
      <c r="AB174" s="31">
        <f t="shared" ca="1" si="130"/>
        <v>1.0176647591614593E-14</v>
      </c>
      <c r="AC174" s="39">
        <f ca="1"/>
        <v>3.0752770640977495E-14</v>
      </c>
      <c r="AD174" s="31">
        <f t="shared" ca="1" si="131"/>
        <v>3.0752770640977495E-14</v>
      </c>
      <c r="AE174" s="39">
        <f ca="1"/>
        <v>8.5407906105579551E-14</v>
      </c>
      <c r="AF174" s="31">
        <f t="shared" ca="1" si="132"/>
        <v>8.5407906105579551E-14</v>
      </c>
      <c r="AL174" s="7"/>
    </row>
    <row r="175" spans="7:38" x14ac:dyDescent="0.25">
      <c r="G175" s="26" t="s">
        <v>19</v>
      </c>
      <c r="H175" s="26">
        <v>9</v>
      </c>
      <c r="I175" s="26">
        <f t="shared" si="110"/>
        <v>35</v>
      </c>
      <c r="J175" s="49"/>
      <c r="K175" s="49"/>
      <c r="L175" s="34">
        <f t="shared" ca="1" si="122"/>
        <v>0</v>
      </c>
      <c r="M175" s="39">
        <f ca="1"/>
        <v>8.4535253319454363E-21</v>
      </c>
      <c r="N175" s="31">
        <f t="shared" ca="1" si="123"/>
        <v>8.4535253319454363E-21</v>
      </c>
      <c r="O175" s="39">
        <f ca="1"/>
        <v>1.6133309457154361E-19</v>
      </c>
      <c r="P175" s="31">
        <f t="shared" ca="1" si="124"/>
        <v>1.6133309457154361E-19</v>
      </c>
      <c r="Q175" s="39">
        <f ca="1"/>
        <v>1.6034885769384737E-18</v>
      </c>
      <c r="R175" s="31">
        <f t="shared" ca="1" si="125"/>
        <v>1.6034885769384737E-18</v>
      </c>
      <c r="S175" s="39">
        <f ca="1"/>
        <v>1.1050559213935465E-17</v>
      </c>
      <c r="T175" s="31">
        <f t="shared" ca="1" si="126"/>
        <v>1.1050559213935465E-17</v>
      </c>
      <c r="U175" s="39">
        <f ca="1"/>
        <v>5.9327271059128231E-17</v>
      </c>
      <c r="V175" s="31">
        <f t="shared" ca="1" si="127"/>
        <v>5.9327271059128231E-17</v>
      </c>
      <c r="W175" s="39">
        <f ca="1"/>
        <v>2.6434226222287825E-16</v>
      </c>
      <c r="X175" s="31">
        <f t="shared" ca="1" si="128"/>
        <v>2.6434226222287825E-16</v>
      </c>
      <c r="Y175" s="39">
        <f ca="1"/>
        <v>1.0170587181910353E-15</v>
      </c>
      <c r="Z175" s="31">
        <f t="shared" ca="1" si="129"/>
        <v>1.0170587181910353E-15</v>
      </c>
      <c r="AA175" s="39">
        <f ca="1"/>
        <v>3.4718005872771046E-15</v>
      </c>
      <c r="AB175" s="31">
        <f t="shared" ca="1" si="130"/>
        <v>3.4718005872771046E-15</v>
      </c>
      <c r="AC175" s="39">
        <f ca="1"/>
        <v>1.0722691723511933E-14</v>
      </c>
      <c r="AD175" s="31">
        <f t="shared" ca="1" si="131"/>
        <v>1.0722691723511933E-14</v>
      </c>
      <c r="AE175" s="39">
        <f ca="1"/>
        <v>3.0409876908177686E-14</v>
      </c>
      <c r="AF175" s="31">
        <f t="shared" ca="1" si="132"/>
        <v>3.0409876908177686E-14</v>
      </c>
      <c r="AL175" s="7"/>
    </row>
    <row r="176" spans="7:38" x14ac:dyDescent="0.25">
      <c r="G176" s="26" t="s">
        <v>19</v>
      </c>
      <c r="H176" s="26">
        <v>9</v>
      </c>
      <c r="I176" s="26">
        <f t="shared" si="110"/>
        <v>36</v>
      </c>
      <c r="J176" s="49"/>
      <c r="K176" s="49"/>
      <c r="L176" s="34">
        <f t="shared" ca="1" si="122"/>
        <v>0</v>
      </c>
      <c r="M176" s="39">
        <f ca="1"/>
        <v>2.4794018419408528E-21</v>
      </c>
      <c r="N176" s="31">
        <f t="shared" ca="1" si="123"/>
        <v>2.4794018419408528E-21</v>
      </c>
      <c r="O176" s="39">
        <f ca="1"/>
        <v>4.8681862402990362E-20</v>
      </c>
      <c r="P176" s="31">
        <f t="shared" ca="1" si="124"/>
        <v>4.8681862402990362E-20</v>
      </c>
      <c r="Q176" s="39">
        <f ca="1"/>
        <v>4.9713588522388467E-19</v>
      </c>
      <c r="R176" s="31">
        <f t="shared" ca="1" si="125"/>
        <v>4.9713588522388467E-19</v>
      </c>
      <c r="S176" s="39">
        <f ca="1"/>
        <v>3.5158612567941724E-18</v>
      </c>
      <c r="T176" s="31">
        <f t="shared" ca="1" si="126"/>
        <v>3.5158612567941724E-18</v>
      </c>
      <c r="U176" s="39">
        <f ca="1"/>
        <v>1.9348633908412008E-17</v>
      </c>
      <c r="V176" s="31">
        <f t="shared" ca="1" si="127"/>
        <v>1.9348633908412008E-17</v>
      </c>
      <c r="W176" s="39">
        <f ca="1"/>
        <v>8.8278514164180816E-17</v>
      </c>
      <c r="X176" s="31">
        <f t="shared" ca="1" si="128"/>
        <v>8.8278514164180816E-17</v>
      </c>
      <c r="Y176" s="39">
        <f ca="1"/>
        <v>3.4745730434069463E-16</v>
      </c>
      <c r="Z176" s="31">
        <f t="shared" ca="1" si="129"/>
        <v>3.4745730434069463E-16</v>
      </c>
      <c r="AA176" s="39">
        <f ca="1"/>
        <v>1.2122142430601134E-15</v>
      </c>
      <c r="AB176" s="31">
        <f t="shared" ca="1" si="130"/>
        <v>1.2122142430601134E-15</v>
      </c>
      <c r="AC176" s="39">
        <f ca="1"/>
        <v>3.8231817611572807E-15</v>
      </c>
      <c r="AD176" s="31">
        <f t="shared" ca="1" si="131"/>
        <v>3.8231817611572807E-15</v>
      </c>
      <c r="AE176" s="39">
        <f ca="1"/>
        <v>1.1063245373371964E-14</v>
      </c>
      <c r="AF176" s="31">
        <f t="shared" ca="1" si="132"/>
        <v>1.1063245373371964E-14</v>
      </c>
      <c r="AL176" s="7"/>
    </row>
    <row r="177" spans="7:38" x14ac:dyDescent="0.25">
      <c r="G177" s="26" t="s">
        <v>19</v>
      </c>
      <c r="H177" s="26">
        <v>9</v>
      </c>
      <c r="I177" s="26">
        <f t="shared" si="110"/>
        <v>37</v>
      </c>
      <c r="J177" s="49"/>
      <c r="K177" s="49"/>
      <c r="L177" s="34">
        <f t="shared" ca="1" si="122"/>
        <v>0</v>
      </c>
      <c r="M177" s="39">
        <f ca="1"/>
        <v>7.4917245090892441E-22</v>
      </c>
      <c r="N177" s="31">
        <f t="shared" ca="1" si="123"/>
        <v>7.4917245090892441E-22</v>
      </c>
      <c r="O177" s="39">
        <f ca="1"/>
        <v>1.5113670035348291E-20</v>
      </c>
      <c r="P177" s="31">
        <f t="shared" ca="1" si="124"/>
        <v>1.5113670035348291E-20</v>
      </c>
      <c r="Q177" s="39">
        <f ca="1"/>
        <v>1.5838646827243211E-19</v>
      </c>
      <c r="R177" s="31">
        <f t="shared" ca="1" si="125"/>
        <v>1.5838646827243211E-19</v>
      </c>
      <c r="S177" s="39">
        <f ca="1"/>
        <v>1.1482191925143325E-18</v>
      </c>
      <c r="T177" s="31">
        <f t="shared" ca="1" si="126"/>
        <v>1.1482191925143325E-18</v>
      </c>
      <c r="U177" s="39">
        <f ca="1"/>
        <v>6.4704905810307287E-18</v>
      </c>
      <c r="V177" s="31">
        <f t="shared" ca="1" si="127"/>
        <v>6.4704905810307287E-18</v>
      </c>
      <c r="W177" s="39">
        <f ca="1"/>
        <v>3.0200213136267012E-17</v>
      </c>
      <c r="X177" s="31">
        <f t="shared" ca="1" si="128"/>
        <v>3.0200213136267012E-17</v>
      </c>
      <c r="Y177" s="39">
        <f ca="1"/>
        <v>1.2148606789637667E-16</v>
      </c>
      <c r="Z177" s="31">
        <f t="shared" ca="1" si="129"/>
        <v>1.2148606789637667E-16</v>
      </c>
      <c r="AA177" s="39">
        <f ca="1"/>
        <v>4.3281425692292286E-16</v>
      </c>
      <c r="AB177" s="31">
        <f t="shared" ca="1" si="130"/>
        <v>4.3281425692292286E-16</v>
      </c>
      <c r="AC177" s="39">
        <f ca="1"/>
        <v>1.3928178265081601E-15</v>
      </c>
      <c r="AD177" s="31">
        <f t="shared" ca="1" si="131"/>
        <v>1.3928178265081601E-15</v>
      </c>
      <c r="AE177" s="39">
        <f ca="1"/>
        <v>4.1093215874875309E-15</v>
      </c>
      <c r="AF177" s="31">
        <f t="shared" ca="1" si="132"/>
        <v>4.1093215874875309E-15</v>
      </c>
      <c r="AL177" s="7"/>
    </row>
    <row r="178" spans="7:38" x14ac:dyDescent="0.25">
      <c r="G178" s="26" t="s">
        <v>19</v>
      </c>
      <c r="H178" s="26">
        <v>9</v>
      </c>
      <c r="I178" s="26">
        <f t="shared" si="110"/>
        <v>38</v>
      </c>
      <c r="J178" s="49"/>
      <c r="K178" s="49"/>
      <c r="L178" s="34">
        <f t="shared" ca="1" si="122"/>
        <v>0</v>
      </c>
      <c r="M178" s="39">
        <f ca="1"/>
        <v>2.3289353886271236E-22</v>
      </c>
      <c r="N178" s="31">
        <f t="shared" ca="1" si="123"/>
        <v>2.3289353886271236E-22</v>
      </c>
      <c r="O178" s="39">
        <f ca="1"/>
        <v>4.8215782755987453E-21</v>
      </c>
      <c r="P178" s="31">
        <f t="shared" ca="1" si="124"/>
        <v>4.8215782755987453E-21</v>
      </c>
      <c r="Q178" s="39">
        <f ca="1"/>
        <v>5.1795319358470731E-20</v>
      </c>
      <c r="R178" s="31">
        <f t="shared" ca="1" si="125"/>
        <v>5.1795319358470731E-20</v>
      </c>
      <c r="S178" s="39">
        <f ca="1"/>
        <v>3.8449771108529418E-19</v>
      </c>
      <c r="T178" s="31">
        <f t="shared" ca="1" si="126"/>
        <v>3.8449771108529418E-19</v>
      </c>
      <c r="U178" s="39">
        <f ca="1"/>
        <v>2.2165453575522292E-18</v>
      </c>
      <c r="V178" s="31">
        <f t="shared" ca="1" si="127"/>
        <v>2.2165453575522292E-18</v>
      </c>
      <c r="W178" s="39">
        <f ca="1"/>
        <v>1.0573567185251782E-17</v>
      </c>
      <c r="X178" s="31">
        <f t="shared" ca="1" si="128"/>
        <v>1.0573567185251782E-17</v>
      </c>
      <c r="Y178" s="39">
        <f ca="1"/>
        <v>4.3434712011759971E-17</v>
      </c>
      <c r="Z178" s="31">
        <f t="shared" ca="1" si="129"/>
        <v>4.3434712011759971E-17</v>
      </c>
      <c r="AA178" s="39">
        <f ca="1"/>
        <v>1.5789223928695065E-16</v>
      </c>
      <c r="AB178" s="31">
        <f t="shared" ca="1" si="130"/>
        <v>1.5789223928695065E-16</v>
      </c>
      <c r="AC178" s="39">
        <f ca="1"/>
        <v>5.180516898312661E-16</v>
      </c>
      <c r="AD178" s="31">
        <f t="shared" ca="1" si="131"/>
        <v>5.180516898312661E-16</v>
      </c>
      <c r="AE178" s="39">
        <f ca="1"/>
        <v>1.5572505449829207E-15</v>
      </c>
      <c r="AF178" s="31">
        <f t="shared" ca="1" si="132"/>
        <v>1.5572505449829207E-15</v>
      </c>
      <c r="AL178" s="7"/>
    </row>
    <row r="179" spans="7:38" x14ac:dyDescent="0.25">
      <c r="G179" s="26" t="s">
        <v>19</v>
      </c>
      <c r="H179" s="26">
        <v>9</v>
      </c>
      <c r="I179" s="26">
        <f t="shared" si="110"/>
        <v>39</v>
      </c>
      <c r="J179" s="49"/>
      <c r="K179" s="49"/>
      <c r="L179" s="34">
        <f t="shared" ca="1" si="122"/>
        <v>0</v>
      </c>
      <c r="M179" s="39">
        <f ca="1"/>
        <v>7.4391996605300496E-23</v>
      </c>
      <c r="N179" s="31">
        <f t="shared" ca="1" si="123"/>
        <v>7.4391996605300496E-23</v>
      </c>
      <c r="O179" s="39">
        <f ca="1"/>
        <v>1.5787581242913056E-21</v>
      </c>
      <c r="P179" s="31">
        <f t="shared" ca="1" si="124"/>
        <v>1.5787581242913056E-21</v>
      </c>
      <c r="Q179" s="39">
        <f ca="1"/>
        <v>1.7366705777704633E-20</v>
      </c>
      <c r="R179" s="31">
        <f t="shared" ca="1" si="125"/>
        <v>1.7366705777704633E-20</v>
      </c>
      <c r="S179" s="39">
        <f ca="1"/>
        <v>1.3188481950224334E-19</v>
      </c>
      <c r="T179" s="31">
        <f t="shared" ca="1" si="126"/>
        <v>1.3188481950224334E-19</v>
      </c>
      <c r="U179" s="39">
        <f ca="1"/>
        <v>7.7705739659222711E-19</v>
      </c>
      <c r="V179" s="31">
        <f t="shared" ca="1" si="127"/>
        <v>7.7705739659222711E-19</v>
      </c>
      <c r="W179" s="39">
        <f ca="1"/>
        <v>3.7852969526985968E-18</v>
      </c>
      <c r="X179" s="31">
        <f t="shared" ca="1" si="128"/>
        <v>3.7852969526985968E-18</v>
      </c>
      <c r="Y179" s="39">
        <f ca="1"/>
        <v>1.586597757971522E-17</v>
      </c>
      <c r="Z179" s="31">
        <f t="shared" ca="1" si="129"/>
        <v>1.586597757971522E-17</v>
      </c>
      <c r="AA179" s="39">
        <f ca="1"/>
        <v>5.8804784914761363E-17</v>
      </c>
      <c r="AB179" s="31">
        <f t="shared" ca="1" si="130"/>
        <v>5.8804784914761363E-17</v>
      </c>
      <c r="AC179" s="39">
        <f ca="1"/>
        <v>1.9657883305675803E-16</v>
      </c>
      <c r="AD179" s="31">
        <f t="shared" ca="1" si="131"/>
        <v>1.9657883305675803E-16</v>
      </c>
      <c r="AE179" s="39">
        <f ca="1"/>
        <v>6.0164650552254064E-16</v>
      </c>
      <c r="AF179" s="31">
        <f t="shared" ca="1" si="132"/>
        <v>6.0164650552254064E-16</v>
      </c>
      <c r="AL179" s="7"/>
    </row>
    <row r="180" spans="7:38" x14ac:dyDescent="0.25">
      <c r="G180" s="26" t="s">
        <v>19</v>
      </c>
      <c r="H180" s="26">
        <v>9</v>
      </c>
      <c r="I180" s="26">
        <f t="shared" si="110"/>
        <v>40</v>
      </c>
      <c r="J180" s="49"/>
      <c r="K180" s="49"/>
      <c r="L180" s="34">
        <f t="shared" ref="L180:L188" ca="1" si="133">OFFSET($J$29,0,I180)</f>
        <v>0</v>
      </c>
      <c r="M180" s="39">
        <f ca="1"/>
        <v>2.4387926785194423E-23</v>
      </c>
      <c r="N180" s="31">
        <f t="shared" ref="N180:N189" ca="1" si="134">MAX(M180,$L180)</f>
        <v>2.4387926785194423E-23</v>
      </c>
      <c r="O180" s="39">
        <f ca="1"/>
        <v>5.2999309175445745E-22</v>
      </c>
      <c r="P180" s="31">
        <f t="shared" ref="P180:P189" ca="1" si="135">MAX(O180,$L180)</f>
        <v>5.2999309175445745E-22</v>
      </c>
      <c r="Q180" s="39">
        <f ca="1"/>
        <v>5.9641854597284239E-21</v>
      </c>
      <c r="R180" s="31">
        <f t="shared" ref="R180:R189" ca="1" si="136">MAX(Q180,$L180)</f>
        <v>5.9641854597284239E-21</v>
      </c>
      <c r="S180" s="39">
        <f ca="1"/>
        <v>4.6292272265908697E-20</v>
      </c>
      <c r="T180" s="31">
        <f t="shared" ref="T180:T189" ca="1" si="137">MAX(S180,$L180)</f>
        <v>4.6292272265908697E-20</v>
      </c>
      <c r="U180" s="39">
        <f ca="1"/>
        <v>2.7853061978617925E-19</v>
      </c>
      <c r="V180" s="31">
        <f t="shared" ref="V180:V189" ca="1" si="138">MAX(U180,$L180)</f>
        <v>2.7853061978617925E-19</v>
      </c>
      <c r="W180" s="39">
        <f ca="1"/>
        <v>1.3844431798028859E-18</v>
      </c>
      <c r="X180" s="31">
        <f t="shared" ref="X180:X189" ca="1" si="139">MAX(W180,$L180)</f>
        <v>1.3844431798028859E-18</v>
      </c>
      <c r="Y180" s="39">
        <f ca="1"/>
        <v>5.916536751335279E-18</v>
      </c>
      <c r="Z180" s="31">
        <f t="shared" ref="Z180:Z189" ca="1" si="140">MAX(Y180,$L180)</f>
        <v>5.916536751335279E-18</v>
      </c>
      <c r="AA180" s="39">
        <f ca="1"/>
        <v>2.2342328833526534E-17</v>
      </c>
      <c r="AB180" s="31">
        <f t="shared" ref="AB180:AB189" ca="1" si="141">MAX(AA180,$L180)</f>
        <v>2.2342328833526534E-17</v>
      </c>
      <c r="AC180" s="39">
        <f ca="1"/>
        <v>7.6045719398714581E-17</v>
      </c>
      <c r="AD180" s="31">
        <f t="shared" ref="AD180:AD189" ca="1" si="142">MAX(AC180,$L180)</f>
        <v>7.6045719398714581E-17</v>
      </c>
      <c r="AE180" s="39">
        <f ca="1"/>
        <v>2.3682370522251049E-16</v>
      </c>
      <c r="AF180" s="31">
        <f t="shared" ref="AF180:AF189" ca="1" si="143">MAX(AE180,$L180)</f>
        <v>2.3682370522251049E-16</v>
      </c>
      <c r="AL180" s="7"/>
    </row>
    <row r="181" spans="7:38" x14ac:dyDescent="0.25">
      <c r="G181" s="26" t="s">
        <v>19</v>
      </c>
      <c r="H181" s="26">
        <v>9</v>
      </c>
      <c r="I181" s="26">
        <f t="shared" si="110"/>
        <v>41</v>
      </c>
      <c r="J181" s="49"/>
      <c r="K181" s="49"/>
      <c r="L181" s="34">
        <f t="shared" ca="1" si="133"/>
        <v>0</v>
      </c>
      <c r="M181" s="39">
        <f ca="1"/>
        <v>8.1963754618740678E-24</v>
      </c>
      <c r="N181" s="31">
        <f t="shared" ca="1" si="134"/>
        <v>8.1963754618740678E-24</v>
      </c>
      <c r="O181" s="39">
        <f ca="1"/>
        <v>1.822227138150544E-22</v>
      </c>
      <c r="P181" s="31">
        <f t="shared" ca="1" si="135"/>
        <v>1.822227138150544E-22</v>
      </c>
      <c r="Q181" s="39">
        <f ca="1"/>
        <v>2.0958937229979182E-21</v>
      </c>
      <c r="R181" s="31">
        <f t="shared" ca="1" si="136"/>
        <v>2.0958937229979182E-21</v>
      </c>
      <c r="S181" s="39">
        <f ca="1"/>
        <v>1.6612622082314513E-20</v>
      </c>
      <c r="T181" s="31">
        <f t="shared" ca="1" si="137"/>
        <v>1.6612622082314513E-20</v>
      </c>
      <c r="U181" s="39">
        <f ca="1"/>
        <v>1.019912697259081E-19</v>
      </c>
      <c r="V181" s="31">
        <f t="shared" ca="1" si="138"/>
        <v>1.019912697259081E-19</v>
      </c>
      <c r="W181" s="39">
        <f ca="1"/>
        <v>5.1688676916745082E-19</v>
      </c>
      <c r="X181" s="31">
        <f t="shared" ca="1" si="139"/>
        <v>5.1688676916745082E-19</v>
      </c>
      <c r="Y181" s="39">
        <f ca="1"/>
        <v>2.2506462283626392E-18</v>
      </c>
      <c r="Z181" s="31">
        <f t="shared" ca="1" si="140"/>
        <v>2.2506462283626392E-18</v>
      </c>
      <c r="AA181" s="39">
        <f ca="1"/>
        <v>8.6535516501443889E-18</v>
      </c>
      <c r="AB181" s="31">
        <f t="shared" ca="1" si="141"/>
        <v>8.6535516501443889E-18</v>
      </c>
      <c r="AC181" s="39">
        <f ca="1"/>
        <v>2.9970240092705353E-17</v>
      </c>
      <c r="AD181" s="31">
        <f t="shared" ca="1" si="142"/>
        <v>2.9970240092705353E-17</v>
      </c>
      <c r="AE181" s="39">
        <f ca="1"/>
        <v>9.4913589001170938E-17</v>
      </c>
      <c r="AF181" s="31">
        <f t="shared" ca="1" si="143"/>
        <v>9.4913589001170938E-17</v>
      </c>
      <c r="AL181" s="7"/>
    </row>
    <row r="182" spans="7:38" x14ac:dyDescent="0.25">
      <c r="G182" s="26" t="s">
        <v>19</v>
      </c>
      <c r="H182" s="26">
        <v>9</v>
      </c>
      <c r="I182" s="26">
        <f t="shared" si="110"/>
        <v>42</v>
      </c>
      <c r="J182" s="49"/>
      <c r="K182" s="49"/>
      <c r="L182" s="34">
        <f t="shared" ca="1" si="133"/>
        <v>0</v>
      </c>
      <c r="M182" s="39">
        <f ca="1"/>
        <v>2.8210749960267292E-24</v>
      </c>
      <c r="N182" s="31">
        <f t="shared" ca="1" si="134"/>
        <v>2.8210749960267292E-24</v>
      </c>
      <c r="O182" s="39">
        <f ca="1"/>
        <v>6.4104447331239529E-23</v>
      </c>
      <c r="P182" s="31">
        <f t="shared" ca="1" si="135"/>
        <v>6.4104447331239529E-23</v>
      </c>
      <c r="Q182" s="39">
        <f ca="1"/>
        <v>7.5296202375331134E-22</v>
      </c>
      <c r="R182" s="31">
        <f t="shared" ca="1" si="136"/>
        <v>7.5296202375331134E-22</v>
      </c>
      <c r="S182" s="39">
        <f ca="1"/>
        <v>6.0898772787725026E-21</v>
      </c>
      <c r="T182" s="31">
        <f t="shared" ca="1" si="137"/>
        <v>6.0898772787725026E-21</v>
      </c>
      <c r="U182" s="39">
        <f ca="1"/>
        <v>3.8121445212134336E-20</v>
      </c>
      <c r="V182" s="31">
        <f t="shared" ca="1" si="138"/>
        <v>3.8121445212134336E-20</v>
      </c>
      <c r="W182" s="39">
        <f ca="1"/>
        <v>1.9684598694935249E-19</v>
      </c>
      <c r="X182" s="31">
        <f t="shared" ca="1" si="139"/>
        <v>1.9684598694935249E-19</v>
      </c>
      <c r="Y182" s="39">
        <f ca="1"/>
        <v>8.7270952768789936E-19</v>
      </c>
      <c r="Z182" s="31">
        <f t="shared" ca="1" si="140"/>
        <v>8.7270952768789936E-19</v>
      </c>
      <c r="AA182" s="39">
        <f ca="1"/>
        <v>3.4143739886860911E-18</v>
      </c>
      <c r="AB182" s="31">
        <f t="shared" ca="1" si="141"/>
        <v>3.4143739886860911E-18</v>
      </c>
      <c r="AC182" s="39">
        <f ca="1"/>
        <v>1.2025388066127144E-17</v>
      </c>
      <c r="AD182" s="31">
        <f t="shared" ca="1" si="142"/>
        <v>1.2025388066127144E-17</v>
      </c>
      <c r="AE182" s="39">
        <f ca="1"/>
        <v>3.8706272880146687E-17</v>
      </c>
      <c r="AF182" s="31">
        <f t="shared" ca="1" si="143"/>
        <v>3.8706272880146687E-17</v>
      </c>
      <c r="AL182" s="7"/>
    </row>
    <row r="183" spans="7:38" x14ac:dyDescent="0.25">
      <c r="G183" s="26" t="s">
        <v>19</v>
      </c>
      <c r="H183" s="26">
        <v>9</v>
      </c>
      <c r="I183" s="26">
        <f t="shared" si="110"/>
        <v>43</v>
      </c>
      <c r="J183" s="49"/>
      <c r="K183" s="49"/>
      <c r="L183" s="34">
        <f t="shared" ca="1" si="133"/>
        <v>0</v>
      </c>
      <c r="M183" s="39">
        <f ca="1"/>
        <v>9.9340740737589943E-25</v>
      </c>
      <c r="N183" s="31">
        <f t="shared" ca="1" si="134"/>
        <v>9.9340740737589943E-25</v>
      </c>
      <c r="O183" s="39">
        <f ca="1"/>
        <v>2.3052964866274234E-23</v>
      </c>
      <c r="P183" s="31">
        <f t="shared" ca="1" si="135"/>
        <v>2.3052964866274234E-23</v>
      </c>
      <c r="Q183" s="39">
        <f ca="1"/>
        <v>2.7630291385390775E-22</v>
      </c>
      <c r="R183" s="31">
        <f t="shared" ca="1" si="136"/>
        <v>2.7630291385390775E-22</v>
      </c>
      <c r="S183" s="39">
        <f ca="1"/>
        <v>2.2785769963702944E-21</v>
      </c>
      <c r="T183" s="31">
        <f t="shared" ca="1" si="137"/>
        <v>2.2785769963702944E-21</v>
      </c>
      <c r="U183" s="39">
        <f ca="1"/>
        <v>1.4533012883274812E-20</v>
      </c>
      <c r="V183" s="31">
        <f t="shared" ca="1" si="138"/>
        <v>1.4533012883274812E-20</v>
      </c>
      <c r="W183" s="39">
        <f ca="1"/>
        <v>7.6409988066000006E-20</v>
      </c>
      <c r="X183" s="31">
        <f t="shared" ca="1" si="139"/>
        <v>7.6409988066000006E-20</v>
      </c>
      <c r="Y183" s="39">
        <f ca="1"/>
        <v>3.4470933115649816E-19</v>
      </c>
      <c r="Z183" s="31">
        <f t="shared" ca="1" si="140"/>
        <v>3.4470933115649816E-19</v>
      </c>
      <c r="AA183" s="39">
        <f ca="1"/>
        <v>1.3714871810903085E-18</v>
      </c>
      <c r="AB183" s="31">
        <f t="shared" ca="1" si="141"/>
        <v>1.3714871810903085E-18</v>
      </c>
      <c r="AC183" s="39">
        <f ca="1"/>
        <v>4.9094025391857554E-18</v>
      </c>
      <c r="AD183" s="31">
        <f t="shared" ca="1" si="142"/>
        <v>4.9094025391857554E-18</v>
      </c>
      <c r="AE183" s="39">
        <f ca="1"/>
        <v>1.6051818362544316E-17</v>
      </c>
      <c r="AF183" s="31">
        <f t="shared" ca="1" si="143"/>
        <v>1.6051818362544316E-17</v>
      </c>
      <c r="AL183" s="7"/>
    </row>
    <row r="184" spans="7:38" x14ac:dyDescent="0.25">
      <c r="G184" s="26" t="s">
        <v>19</v>
      </c>
      <c r="H184" s="26">
        <v>9</v>
      </c>
      <c r="I184" s="26">
        <f t="shared" si="110"/>
        <v>44</v>
      </c>
      <c r="J184" s="49"/>
      <c r="K184" s="49"/>
      <c r="L184" s="34">
        <f t="shared" ca="1" si="133"/>
        <v>0</v>
      </c>
      <c r="M184" s="39">
        <f ca="1"/>
        <v>3.5756649800452889E-25</v>
      </c>
      <c r="N184" s="31">
        <f t="shared" ca="1" si="134"/>
        <v>3.5756649800452889E-25</v>
      </c>
      <c r="O184" s="39">
        <f ca="1"/>
        <v>8.4671609988375485E-24</v>
      </c>
      <c r="P184" s="31">
        <f t="shared" ca="1" si="135"/>
        <v>8.4671609988375485E-24</v>
      </c>
      <c r="Q184" s="39">
        <f ca="1"/>
        <v>1.0347764612141868E-22</v>
      </c>
      <c r="R184" s="31">
        <f t="shared" ca="1" si="136"/>
        <v>1.0347764612141868E-22</v>
      </c>
      <c r="S184" s="39">
        <f ca="1"/>
        <v>8.694860860829126E-22</v>
      </c>
      <c r="T184" s="31">
        <f t="shared" ca="1" si="137"/>
        <v>8.694860860829126E-22</v>
      </c>
      <c r="U184" s="39">
        <f ca="1"/>
        <v>5.6467430591085819E-21</v>
      </c>
      <c r="V184" s="31">
        <f t="shared" ca="1" si="138"/>
        <v>5.6467430591085819E-21</v>
      </c>
      <c r="W184" s="39">
        <f ca="1"/>
        <v>3.0210498941351391E-20</v>
      </c>
      <c r="X184" s="31">
        <f t="shared" ca="1" si="139"/>
        <v>3.0210498941351391E-20</v>
      </c>
      <c r="Y184" s="39">
        <f ca="1"/>
        <v>1.3860001015756292E-19</v>
      </c>
      <c r="Z184" s="31">
        <f t="shared" ca="1" si="140"/>
        <v>1.3860001015756292E-19</v>
      </c>
      <c r="AA184" s="39">
        <f ca="1"/>
        <v>5.604739698744403E-19</v>
      </c>
      <c r="AB184" s="31">
        <f t="shared" ca="1" si="141"/>
        <v>5.604739698744403E-19</v>
      </c>
      <c r="AC184" s="39">
        <f ca="1"/>
        <v>2.0380261482220074E-18</v>
      </c>
      <c r="AD184" s="31">
        <f t="shared" ca="1" si="142"/>
        <v>2.0380261482220074E-18</v>
      </c>
      <c r="AE184" s="39">
        <f ca="1"/>
        <v>6.7654812245956115E-18</v>
      </c>
      <c r="AF184" s="31">
        <f t="shared" ca="1" si="143"/>
        <v>6.7654812245956115E-18</v>
      </c>
      <c r="AK184" s="13"/>
    </row>
    <row r="185" spans="7:38" x14ac:dyDescent="0.25">
      <c r="G185" s="26" t="s">
        <v>19</v>
      </c>
      <c r="H185" s="26">
        <v>9</v>
      </c>
      <c r="I185" s="26">
        <f t="shared" si="110"/>
        <v>45</v>
      </c>
      <c r="J185" s="49"/>
      <c r="K185" s="49"/>
      <c r="L185" s="34">
        <f t="shared" ca="1" si="133"/>
        <v>0</v>
      </c>
      <c r="M185" s="39">
        <f ca="1"/>
        <v>1.3143325286770508E-25</v>
      </c>
      <c r="N185" s="31">
        <f t="shared" ca="1" si="134"/>
        <v>1.3143325286770508E-25</v>
      </c>
      <c r="O185" s="39">
        <f ca="1"/>
        <v>3.1735223782387604E-24</v>
      </c>
      <c r="P185" s="31">
        <f t="shared" ca="1" si="135"/>
        <v>3.1735223782387604E-24</v>
      </c>
      <c r="Q185" s="39">
        <f ca="1"/>
        <v>3.9517772810127361E-23</v>
      </c>
      <c r="R185" s="31">
        <f t="shared" ca="1" si="136"/>
        <v>3.9517772810127361E-23</v>
      </c>
      <c r="S185" s="39">
        <f ca="1"/>
        <v>3.3810793139639071E-22</v>
      </c>
      <c r="T185" s="31">
        <f t="shared" ca="1" si="137"/>
        <v>3.3810793139639071E-22</v>
      </c>
      <c r="U185" s="39">
        <f ca="1"/>
        <v>2.234387735535402E-21</v>
      </c>
      <c r="V185" s="31">
        <f t="shared" ca="1" si="138"/>
        <v>2.234387735535402E-21</v>
      </c>
      <c r="W185" s="39">
        <f ca="1"/>
        <v>1.21568840111419E-20</v>
      </c>
      <c r="X185" s="31">
        <f t="shared" ca="1" si="139"/>
        <v>1.21568840111419E-20</v>
      </c>
      <c r="Y185" s="39">
        <f ca="1"/>
        <v>5.6686744287452882E-20</v>
      </c>
      <c r="Z185" s="31">
        <f t="shared" ca="1" si="140"/>
        <v>5.6686744287452882E-20</v>
      </c>
      <c r="AA185" s="39">
        <f ca="1"/>
        <v>2.3285764471341785E-19</v>
      </c>
      <c r="AB185" s="31">
        <f t="shared" ca="1" si="141"/>
        <v>2.3285764471341785E-19</v>
      </c>
      <c r="AC185" s="39">
        <f ca="1"/>
        <v>8.5967936360196506E-19</v>
      </c>
      <c r="AD185" s="31">
        <f t="shared" ca="1" si="142"/>
        <v>8.5967936360196506E-19</v>
      </c>
      <c r="AE185" s="39">
        <f ca="1"/>
        <v>2.8960307059662579E-18</v>
      </c>
      <c r="AF185" s="31">
        <f t="shared" ca="1" si="143"/>
        <v>2.8960307059662579E-18</v>
      </c>
    </row>
    <row r="186" spans="7:38" x14ac:dyDescent="0.25">
      <c r="G186" s="26" t="s">
        <v>19</v>
      </c>
      <c r="H186" s="26">
        <v>9</v>
      </c>
      <c r="I186" s="26">
        <f t="shared" si="110"/>
        <v>46</v>
      </c>
      <c r="J186" s="49"/>
      <c r="K186" s="49"/>
      <c r="L186" s="34">
        <f t="shared" ca="1" si="133"/>
        <v>0</v>
      </c>
      <c r="M186" s="39">
        <f ca="1"/>
        <v>4.9280233107796143E-26</v>
      </c>
      <c r="N186" s="31">
        <f t="shared" ca="1" si="134"/>
        <v>4.9280233107796143E-26</v>
      </c>
      <c r="O186" s="39">
        <f ca="1"/>
        <v>1.2123828060585392E-24</v>
      </c>
      <c r="P186" s="31">
        <f t="shared" ca="1" si="135"/>
        <v>1.2123828060585392E-24</v>
      </c>
      <c r="Q186" s="39">
        <f ca="1"/>
        <v>1.5371764118983272E-23</v>
      </c>
      <c r="R186" s="31">
        <f t="shared" ca="1" si="136"/>
        <v>1.5371764118983272E-23</v>
      </c>
      <c r="S186" s="39">
        <f ca="1"/>
        <v>1.3382532825492232E-22</v>
      </c>
      <c r="T186" s="31">
        <f t="shared" ca="1" si="137"/>
        <v>1.3382532825492232E-22</v>
      </c>
      <c r="U186" s="39">
        <f ca="1"/>
        <v>8.9934622184105566E-22</v>
      </c>
      <c r="V186" s="31">
        <f t="shared" ca="1" si="138"/>
        <v>8.9934622184105566E-22</v>
      </c>
      <c r="W186" s="39">
        <f ca="1"/>
        <v>4.9730598439065552E-21</v>
      </c>
      <c r="X186" s="31">
        <f t="shared" ca="1" si="139"/>
        <v>4.9730598439065552E-21</v>
      </c>
      <c r="Y186" s="39">
        <f ca="1"/>
        <v>2.3554639628639742E-20</v>
      </c>
      <c r="Z186" s="31">
        <f t="shared" ca="1" si="140"/>
        <v>2.3554639628639742E-20</v>
      </c>
      <c r="AA186" s="39">
        <f ca="1"/>
        <v>9.8231649743472448E-20</v>
      </c>
      <c r="AB186" s="31">
        <f t="shared" ca="1" si="141"/>
        <v>9.8231649743472448E-20</v>
      </c>
      <c r="AC186" s="39">
        <f ca="1"/>
        <v>3.6799929296453577E-19</v>
      </c>
      <c r="AD186" s="31">
        <f t="shared" ca="1" si="142"/>
        <v>3.6799929296453577E-19</v>
      </c>
      <c r="AE186" s="39">
        <f ca="1"/>
        <v>1.2573526074402074E-18</v>
      </c>
      <c r="AF186" s="31">
        <f t="shared" ca="1" si="143"/>
        <v>1.2573526074402074E-18</v>
      </c>
    </row>
    <row r="187" spans="7:38" x14ac:dyDescent="0.25">
      <c r="G187" s="26" t="s">
        <v>19</v>
      </c>
      <c r="H187" s="26">
        <v>9</v>
      </c>
      <c r="I187" s="26">
        <f t="shared" si="110"/>
        <v>47</v>
      </c>
      <c r="J187" s="49"/>
      <c r="K187" s="49"/>
      <c r="L187" s="34">
        <f t="shared" ca="1" si="133"/>
        <v>0</v>
      </c>
      <c r="M187" s="39">
        <f ca="1"/>
        <v>1.8790223909526086E-26</v>
      </c>
      <c r="N187" s="31">
        <f t="shared" ca="1" si="134"/>
        <v>1.8790223909526086E-26</v>
      </c>
      <c r="O187" s="39">
        <f ca="1"/>
        <v>4.7058505989524426E-25</v>
      </c>
      <c r="P187" s="31">
        <f t="shared" ca="1" si="135"/>
        <v>4.7058505989524426E-25</v>
      </c>
      <c r="Q187" s="39">
        <f ca="1"/>
        <v>6.0697996943163145E-24</v>
      </c>
      <c r="R187" s="31">
        <f t="shared" ca="1" si="136"/>
        <v>6.0697996943163145E-24</v>
      </c>
      <c r="S187" s="39">
        <f ca="1"/>
        <v>5.3724143199243449E-23</v>
      </c>
      <c r="T187" s="31">
        <f t="shared" ca="1" si="137"/>
        <v>5.3724143199243449E-23</v>
      </c>
      <c r="U187" s="39">
        <f ca="1"/>
        <v>3.6684354893488277E-22</v>
      </c>
      <c r="V187" s="31">
        <f t="shared" ca="1" si="138"/>
        <v>3.6684354893488277E-22</v>
      </c>
      <c r="W187" s="39">
        <f ca="1"/>
        <v>2.0599453356342004E-21</v>
      </c>
      <c r="X187" s="31">
        <f t="shared" ca="1" si="139"/>
        <v>2.0599453356342004E-21</v>
      </c>
      <c r="Y187" s="39">
        <f ca="1"/>
        <v>9.9027047350045632E-21</v>
      </c>
      <c r="Z187" s="31">
        <f t="shared" ca="1" si="140"/>
        <v>9.9027047350045632E-21</v>
      </c>
      <c r="AA187" s="39">
        <f ca="1"/>
        <v>4.1894085201404194E-20</v>
      </c>
      <c r="AB187" s="31">
        <f t="shared" ca="1" si="141"/>
        <v>4.1894085201404194E-20</v>
      </c>
      <c r="AC187" s="39">
        <f ca="1"/>
        <v>1.5913334655754417E-19</v>
      </c>
      <c r="AD187" s="31">
        <f t="shared" ca="1" si="142"/>
        <v>1.5913334655754417E-19</v>
      </c>
      <c r="AE187" s="39">
        <f ca="1"/>
        <v>5.5103990964643833E-19</v>
      </c>
      <c r="AF187" s="31">
        <f t="shared" ca="1" si="143"/>
        <v>5.5103990964643833E-19</v>
      </c>
    </row>
    <row r="188" spans="7:38" x14ac:dyDescent="0.25">
      <c r="G188" s="26" t="s">
        <v>19</v>
      </c>
      <c r="H188" s="26">
        <v>9</v>
      </c>
      <c r="I188" s="26">
        <f t="shared" si="110"/>
        <v>48</v>
      </c>
      <c r="J188" s="49"/>
      <c r="K188" s="49"/>
      <c r="L188" s="34">
        <f t="shared" ca="1" si="133"/>
        <v>0</v>
      </c>
      <c r="M188" s="39">
        <f ca="1"/>
        <v>7.1696481081960947E-27</v>
      </c>
      <c r="N188" s="31">
        <f t="shared" ca="1" si="134"/>
        <v>7.1696481081960947E-27</v>
      </c>
      <c r="O188" s="39">
        <f ca="1"/>
        <v>1.8248718473566395E-25</v>
      </c>
      <c r="P188" s="31">
        <f t="shared" ca="1" si="135"/>
        <v>1.8248718473566395E-25</v>
      </c>
      <c r="Q188" s="39">
        <f ca="1"/>
        <v>2.3906659757108586E-24</v>
      </c>
      <c r="R188" s="31">
        <f t="shared" ca="1" si="136"/>
        <v>2.3906659757108586E-24</v>
      </c>
      <c r="S188" s="39">
        <f ca="1"/>
        <v>2.1478351742972173E-23</v>
      </c>
      <c r="T188" s="31">
        <f t="shared" ca="1" si="137"/>
        <v>2.1478351742972173E-23</v>
      </c>
      <c r="U188" s="39">
        <f ca="1"/>
        <v>1.4878168525218692E-22</v>
      </c>
      <c r="V188" s="31">
        <f t="shared" ca="1" si="138"/>
        <v>1.4878168525218692E-22</v>
      </c>
      <c r="W188" s="39">
        <f ca="1"/>
        <v>8.470797929274305E-22</v>
      </c>
      <c r="X188" s="31">
        <f t="shared" ca="1" si="139"/>
        <v>8.470797929274305E-22</v>
      </c>
      <c r="Y188" s="39">
        <f ca="1"/>
        <v>4.1266460933550448E-21</v>
      </c>
      <c r="Z188" s="31">
        <f t="shared" ca="1" si="140"/>
        <v>4.1266460933550448E-21</v>
      </c>
      <c r="AA188" s="39">
        <f ca="1"/>
        <v>1.7683028769758842E-20</v>
      </c>
      <c r="AB188" s="31">
        <f t="shared" ca="1" si="141"/>
        <v>1.7683028769758842E-20</v>
      </c>
      <c r="AC188" s="39">
        <f ca="1"/>
        <v>6.8002017995473031E-20</v>
      </c>
      <c r="AD188" s="31">
        <f t="shared" ca="1" si="142"/>
        <v>6.8002017995473031E-20</v>
      </c>
      <c r="AE188" s="39">
        <f ca="1"/>
        <v>2.3829016796852933E-19</v>
      </c>
      <c r="AF188" s="31">
        <f t="shared" ca="1" si="143"/>
        <v>2.3829016796852933E-19</v>
      </c>
    </row>
    <row r="189" spans="7:38" x14ac:dyDescent="0.25">
      <c r="G189" s="35" t="s">
        <v>19</v>
      </c>
      <c r="H189" s="50">
        <v>9</v>
      </c>
      <c r="I189" s="26">
        <f t="shared" si="110"/>
        <v>49</v>
      </c>
      <c r="J189" s="49"/>
      <c r="K189" s="49"/>
      <c r="L189" s="34">
        <f ca="1">OFFSET($J$29,0,I189)</f>
        <v>0</v>
      </c>
      <c r="M189" s="39">
        <f ca="1"/>
        <v>2.4520740977232333E-27</v>
      </c>
      <c r="N189" s="31">
        <f t="shared" ca="1" si="134"/>
        <v>2.4520740977232333E-27</v>
      </c>
      <c r="O189" s="39">
        <f ca="1"/>
        <v>6.3186800148142429E-26</v>
      </c>
      <c r="P189" s="31">
        <f t="shared" ca="1" si="135"/>
        <v>6.3186800148142429E-26</v>
      </c>
      <c r="Q189" s="39">
        <f ca="1"/>
        <v>8.3759144663806813E-25</v>
      </c>
      <c r="R189" s="31">
        <f t="shared" ca="1" si="136"/>
        <v>8.3759144663806813E-25</v>
      </c>
      <c r="S189" s="39">
        <f ca="1"/>
        <v>7.6104184101927117E-24</v>
      </c>
      <c r="T189" s="31">
        <f t="shared" ca="1" si="137"/>
        <v>7.6104184101927117E-24</v>
      </c>
      <c r="U189" s="39">
        <f ca="1"/>
        <v>5.3289177713459729E-23</v>
      </c>
      <c r="V189" s="31">
        <f t="shared" ca="1" si="138"/>
        <v>5.3289177713459729E-23</v>
      </c>
      <c r="W189" s="39">
        <f ca="1"/>
        <v>3.0654583676018109E-22</v>
      </c>
      <c r="X189" s="31">
        <f t="shared" ca="1" si="139"/>
        <v>3.0654583676018109E-22</v>
      </c>
      <c r="Y189" s="39">
        <f ca="1"/>
        <v>1.5082055076109916E-21</v>
      </c>
      <c r="Z189" s="31">
        <f t="shared" ca="1" si="140"/>
        <v>1.5082055076109916E-21</v>
      </c>
      <c r="AA189" s="39">
        <f ca="1"/>
        <v>6.5242872550266806E-21</v>
      </c>
      <c r="AB189" s="31">
        <f t="shared" ca="1" si="141"/>
        <v>6.5242872550266806E-21</v>
      </c>
      <c r="AC189" s="39">
        <f ca="1"/>
        <v>2.5318726429084965E-20</v>
      </c>
      <c r="AD189" s="31">
        <f t="shared" ca="1" si="142"/>
        <v>2.5318726429084965E-20</v>
      </c>
      <c r="AE189" s="39">
        <f ca="1"/>
        <v>8.949716343889687E-20</v>
      </c>
      <c r="AF189" s="31">
        <f t="shared" ca="1" si="143"/>
        <v>8.949716343889687E-20</v>
      </c>
    </row>
    <row r="190" spans="7:38" x14ac:dyDescent="0.25">
      <c r="I190" s="26">
        <f t="shared" si="110"/>
        <v>50</v>
      </c>
      <c r="J190" s="49"/>
      <c r="K190" s="49"/>
      <c r="L190" s="34"/>
      <c r="M190" s="39"/>
      <c r="N190" s="31"/>
      <c r="O190" s="39"/>
      <c r="P190" s="31"/>
      <c r="Q190" s="39"/>
      <c r="R190" s="31"/>
      <c r="S190" s="39"/>
      <c r="T190" s="31"/>
      <c r="U190" s="39"/>
      <c r="V190" s="31"/>
      <c r="W190" s="39"/>
      <c r="X190" s="31"/>
      <c r="Y190" s="39"/>
      <c r="Z190" s="31"/>
      <c r="AA190" s="39"/>
      <c r="AB190" s="31"/>
      <c r="AC190" s="39"/>
      <c r="AD190" s="31"/>
      <c r="AE190" s="39"/>
      <c r="AF190" s="31"/>
    </row>
    <row r="191" spans="7:38" x14ac:dyDescent="0.25">
      <c r="I191" s="26"/>
      <c r="J191" s="49"/>
      <c r="K191" s="49"/>
      <c r="L191" s="34"/>
      <c r="M191" s="39"/>
      <c r="N191" s="31"/>
      <c r="O191" s="39"/>
      <c r="P191" s="31"/>
      <c r="Q191" s="39"/>
      <c r="R191" s="31"/>
      <c r="S191" s="39"/>
      <c r="T191" s="31"/>
      <c r="U191" s="39"/>
      <c r="V191" s="31"/>
      <c r="W191" s="39"/>
      <c r="X191" s="31"/>
      <c r="Y191" s="39"/>
      <c r="Z191" s="31"/>
      <c r="AA191" s="39"/>
      <c r="AB191" s="31"/>
      <c r="AC191" s="39"/>
      <c r="AD191" s="31"/>
      <c r="AE191" s="39"/>
      <c r="AF191" s="31"/>
    </row>
    <row r="192" spans="7:38" x14ac:dyDescent="0.25">
      <c r="I192" s="26"/>
      <c r="J192" s="49"/>
      <c r="K192" s="49"/>
      <c r="L192" s="34"/>
      <c r="M192" s="39"/>
      <c r="N192" s="31"/>
      <c r="O192" s="39"/>
      <c r="P192" s="31"/>
      <c r="Q192" s="39"/>
      <c r="R192" s="31"/>
      <c r="S192" s="39"/>
      <c r="T192" s="31"/>
      <c r="U192" s="39"/>
      <c r="V192" s="31"/>
      <c r="W192" s="39"/>
      <c r="X192" s="31"/>
      <c r="Y192" s="39"/>
      <c r="Z192" s="31"/>
      <c r="AA192" s="39"/>
      <c r="AB192" s="31"/>
      <c r="AC192" s="39"/>
      <c r="AD192" s="31"/>
      <c r="AE192" s="39"/>
      <c r="AF192" s="31"/>
    </row>
    <row r="193" spans="9:32" x14ac:dyDescent="0.25">
      <c r="I193" s="26"/>
      <c r="J193" s="49"/>
      <c r="K193" s="49"/>
      <c r="L193" s="34"/>
      <c r="M193" s="39"/>
      <c r="N193" s="31"/>
      <c r="O193" s="39"/>
      <c r="P193" s="31"/>
      <c r="Q193" s="39"/>
      <c r="R193" s="31"/>
      <c r="S193" s="39"/>
      <c r="T193" s="31"/>
      <c r="U193" s="39"/>
      <c r="V193" s="31"/>
      <c r="W193" s="39"/>
      <c r="X193" s="31"/>
      <c r="Y193" s="39"/>
      <c r="Z193" s="31"/>
      <c r="AA193" s="39"/>
      <c r="AB193" s="31"/>
      <c r="AC193" s="39"/>
      <c r="AD193" s="31"/>
      <c r="AE193" s="39"/>
      <c r="AF193" s="31"/>
    </row>
    <row r="194" spans="9:32" x14ac:dyDescent="0.25">
      <c r="R194" s="8"/>
    </row>
    <row r="195" spans="9:32" x14ac:dyDescent="0.25">
      <c r="R195" s="8"/>
    </row>
    <row r="196" spans="9:32" x14ac:dyDescent="0.25">
      <c r="R196" s="8"/>
    </row>
    <row r="197" spans="9:32" x14ac:dyDescent="0.25">
      <c r="R197" s="8"/>
    </row>
    <row r="198" spans="9:32" x14ac:dyDescent="0.25">
      <c r="R198" s="8"/>
    </row>
    <row r="199" spans="9:32" x14ac:dyDescent="0.25">
      <c r="R199" s="8"/>
    </row>
    <row r="200" spans="9:32" x14ac:dyDescent="0.25">
      <c r="R200" s="8"/>
    </row>
    <row r="201" spans="9:32" x14ac:dyDescent="0.25">
      <c r="R201" s="8"/>
    </row>
    <row r="202" spans="9:32" x14ac:dyDescent="0.25">
      <c r="R202" s="8"/>
    </row>
    <row r="203" spans="9:32" x14ac:dyDescent="0.25">
      <c r="R203" s="8"/>
    </row>
  </sheetData>
  <sortState xmlns:xlrd2="http://schemas.microsoft.com/office/spreadsheetml/2017/richdata2" ref="Q77:Q95">
    <sortCondition descending="1" ref="Q101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0"/>
  <sheetViews>
    <sheetView topLeftCell="D1" workbookViewId="0">
      <selection activeCell="K31" sqref="K31"/>
    </sheetView>
  </sheetViews>
  <sheetFormatPr defaultRowHeight="15" x14ac:dyDescent="0.25"/>
  <cols>
    <col min="1" max="1" width="24.7109375" customWidth="1"/>
    <col min="2" max="2" width="16.7109375" customWidth="1"/>
    <col min="4" max="4" width="23.7109375" bestFit="1" customWidth="1"/>
    <col min="5" max="5" width="21.42578125" bestFit="1" customWidth="1"/>
    <col min="6" max="6" width="10.7109375" bestFit="1" customWidth="1"/>
    <col min="8" max="9" width="10.7109375" bestFit="1" customWidth="1"/>
    <col min="11" max="11" width="10.140625" bestFit="1" customWidth="1"/>
  </cols>
  <sheetData>
    <row r="1" spans="1:14" x14ac:dyDescent="0.25">
      <c r="A1" s="72" t="s">
        <v>68</v>
      </c>
      <c r="B1" s="72" t="s">
        <v>69</v>
      </c>
      <c r="C1" s="72" t="s">
        <v>70</v>
      </c>
      <c r="D1" s="74" t="s">
        <v>88</v>
      </c>
      <c r="E1" s="74" t="s">
        <v>89</v>
      </c>
      <c r="F1" s="74" t="s">
        <v>90</v>
      </c>
      <c r="G1" s="74" t="s">
        <v>91</v>
      </c>
      <c r="H1" s="74" t="s">
        <v>92</v>
      </c>
      <c r="I1" s="74" t="s">
        <v>93</v>
      </c>
      <c r="J1" s="74"/>
      <c r="K1" s="74"/>
      <c r="L1" s="74"/>
      <c r="M1" s="74"/>
      <c r="N1" s="74"/>
    </row>
    <row r="2" spans="1:14" x14ac:dyDescent="0.25">
      <c r="A2" s="72" t="s">
        <v>78</v>
      </c>
      <c r="B2" s="72"/>
      <c r="C2" s="72"/>
      <c r="D2" s="74" t="s">
        <v>68</v>
      </c>
      <c r="E2" s="74" t="s">
        <v>69</v>
      </c>
      <c r="F2" s="74" t="s">
        <v>70</v>
      </c>
      <c r="G2" s="74" t="s">
        <v>77</v>
      </c>
      <c r="H2" s="74" t="s">
        <v>71</v>
      </c>
      <c r="I2" s="74" t="s">
        <v>72</v>
      </c>
      <c r="J2" s="74" t="s">
        <v>43</v>
      </c>
      <c r="K2" s="74"/>
      <c r="L2" s="74"/>
      <c r="M2" s="74"/>
      <c r="N2" s="74"/>
    </row>
    <row r="3" spans="1:14" x14ac:dyDescent="0.25">
      <c r="A3" s="68"/>
      <c r="B3" s="68"/>
      <c r="C3" s="68"/>
      <c r="D3" s="74" t="s">
        <v>94</v>
      </c>
      <c r="E3" s="74"/>
      <c r="F3" s="74"/>
      <c r="G3" s="74"/>
      <c r="H3" s="74"/>
      <c r="I3" s="74"/>
      <c r="J3" s="74"/>
      <c r="K3" s="74"/>
      <c r="L3" s="74"/>
      <c r="M3" s="74"/>
      <c r="N3" s="74"/>
    </row>
    <row r="4" spans="1:14" x14ac:dyDescent="0.25">
      <c r="A4" s="69"/>
      <c r="B4" s="69"/>
      <c r="C4" s="69"/>
      <c r="D4" s="69"/>
      <c r="E4" s="70"/>
      <c r="F4" s="71"/>
      <c r="G4" s="69"/>
      <c r="H4" s="69"/>
      <c r="I4" s="69"/>
      <c r="J4" s="69"/>
      <c r="K4" s="69"/>
    </row>
    <row r="5" spans="1:14" x14ac:dyDescent="0.25">
      <c r="A5" s="72" t="s">
        <v>6</v>
      </c>
      <c r="B5" s="72" t="s">
        <v>76</v>
      </c>
      <c r="C5" s="72" t="s">
        <v>6</v>
      </c>
      <c r="D5" s="72"/>
      <c r="E5" s="72"/>
      <c r="F5" s="72"/>
      <c r="G5" s="72"/>
      <c r="H5" s="72"/>
      <c r="I5" s="72"/>
      <c r="J5" s="72"/>
      <c r="K5" s="72"/>
    </row>
    <row r="6" spans="1:14" x14ac:dyDescent="0.25">
      <c r="A6" s="72" t="s">
        <v>6</v>
      </c>
      <c r="B6" s="72" t="s">
        <v>6</v>
      </c>
      <c r="C6" s="72" t="s">
        <v>26</v>
      </c>
      <c r="D6" s="74" t="s">
        <v>6</v>
      </c>
      <c r="E6" s="74" t="s">
        <v>6</v>
      </c>
      <c r="F6" s="74" t="s">
        <v>44</v>
      </c>
      <c r="G6" s="74" t="s">
        <v>6</v>
      </c>
      <c r="H6" s="74" t="s">
        <v>6</v>
      </c>
      <c r="I6" s="74" t="s">
        <v>6</v>
      </c>
      <c r="J6" s="74" t="s">
        <v>6</v>
      </c>
      <c r="K6" s="74" t="s">
        <v>6</v>
      </c>
      <c r="L6" s="74"/>
      <c r="M6" s="74"/>
      <c r="N6" s="74"/>
    </row>
    <row r="7" spans="1:14" x14ac:dyDescent="0.25">
      <c r="A7" s="72" t="s">
        <v>6</v>
      </c>
      <c r="B7" s="72" t="s">
        <v>45</v>
      </c>
      <c r="C7" s="72" t="s">
        <v>6</v>
      </c>
      <c r="D7" s="74" t="s">
        <v>6</v>
      </c>
      <c r="E7" s="74" t="s">
        <v>6</v>
      </c>
      <c r="F7" s="74" t="s">
        <v>26</v>
      </c>
      <c r="G7" s="74" t="s">
        <v>6</v>
      </c>
      <c r="H7" s="75" t="s">
        <v>6</v>
      </c>
      <c r="I7" s="76" t="s">
        <v>6</v>
      </c>
      <c r="J7" s="74" t="s">
        <v>6</v>
      </c>
      <c r="K7" s="74" t="s">
        <v>6</v>
      </c>
      <c r="L7" s="74"/>
      <c r="M7" s="74"/>
      <c r="N7" s="74"/>
    </row>
    <row r="8" spans="1:14" x14ac:dyDescent="0.25">
      <c r="A8" s="72" t="s">
        <v>6</v>
      </c>
      <c r="B8" s="72" t="s">
        <v>27</v>
      </c>
      <c r="C8" s="72" t="s">
        <v>6</v>
      </c>
      <c r="D8" s="74" t="s">
        <v>6</v>
      </c>
      <c r="E8" s="74" t="s">
        <v>45</v>
      </c>
      <c r="F8" s="74" t="s">
        <v>6</v>
      </c>
      <c r="G8" s="74" t="s">
        <v>6</v>
      </c>
      <c r="H8" s="75">
        <v>42614</v>
      </c>
      <c r="I8" s="76">
        <v>0.23750000000000002</v>
      </c>
      <c r="J8" s="74" t="s">
        <v>6</v>
      </c>
      <c r="K8" s="74" t="s">
        <v>46</v>
      </c>
      <c r="L8" s="74" t="s">
        <v>6</v>
      </c>
      <c r="M8" s="74" t="s">
        <v>6</v>
      </c>
      <c r="N8" s="77" t="s">
        <v>6</v>
      </c>
    </row>
    <row r="9" spans="1:14" x14ac:dyDescent="0.25">
      <c r="A9" s="72" t="s">
        <v>6</v>
      </c>
      <c r="B9" s="72" t="s">
        <v>47</v>
      </c>
      <c r="C9" s="72" t="s">
        <v>6</v>
      </c>
      <c r="D9" s="74" t="s">
        <v>6</v>
      </c>
      <c r="E9" s="74" t="s">
        <v>27</v>
      </c>
      <c r="F9" s="74" t="s">
        <v>6</v>
      </c>
      <c r="G9" s="74" t="s">
        <v>6</v>
      </c>
      <c r="H9" s="74" t="s">
        <v>79</v>
      </c>
      <c r="I9" s="74" t="s">
        <v>6</v>
      </c>
      <c r="J9" s="74" t="s">
        <v>16</v>
      </c>
      <c r="K9" s="74" t="s">
        <v>80</v>
      </c>
      <c r="L9" s="74" t="s">
        <v>6</v>
      </c>
      <c r="M9" s="74" t="s">
        <v>6</v>
      </c>
      <c r="N9" s="77">
        <v>0.35576999999999998</v>
      </c>
    </row>
    <row r="10" spans="1:14" x14ac:dyDescent="0.25">
      <c r="A10" s="72" t="s">
        <v>6</v>
      </c>
      <c r="B10" s="72" t="s">
        <v>50</v>
      </c>
      <c r="C10" s="72" t="s">
        <v>6</v>
      </c>
      <c r="D10" s="74" t="s">
        <v>6</v>
      </c>
      <c r="E10" s="74" t="s">
        <v>47</v>
      </c>
      <c r="F10" s="74" t="s">
        <v>6</v>
      </c>
      <c r="G10" s="74" t="s">
        <v>6</v>
      </c>
      <c r="H10" s="74" t="s">
        <v>48</v>
      </c>
      <c r="I10" s="74" t="s">
        <v>6</v>
      </c>
      <c r="J10" s="74" t="s">
        <v>41</v>
      </c>
      <c r="K10" s="74" t="s">
        <v>49</v>
      </c>
      <c r="L10" s="74" t="s">
        <v>6</v>
      </c>
      <c r="M10" s="74" t="s">
        <v>6</v>
      </c>
      <c r="N10" s="74">
        <v>45.45</v>
      </c>
    </row>
    <row r="11" spans="1:14" x14ac:dyDescent="0.25">
      <c r="A11" s="72" t="s">
        <v>6</v>
      </c>
      <c r="B11" s="72" t="s">
        <v>51</v>
      </c>
      <c r="C11" s="72" t="s">
        <v>6</v>
      </c>
      <c r="D11" s="74" t="s">
        <v>6</v>
      </c>
      <c r="E11" s="74" t="s">
        <v>50</v>
      </c>
      <c r="F11" s="74" t="s">
        <v>6</v>
      </c>
      <c r="G11" s="74" t="s">
        <v>6</v>
      </c>
      <c r="H11" s="74" t="s">
        <v>81</v>
      </c>
      <c r="I11" s="74" t="s">
        <v>6</v>
      </c>
      <c r="J11" s="74" t="s">
        <v>82</v>
      </c>
      <c r="K11" s="74" t="s">
        <v>28</v>
      </c>
      <c r="L11" s="74" t="s">
        <v>6</v>
      </c>
      <c r="M11" s="74" t="s">
        <v>6</v>
      </c>
      <c r="N11" s="74" t="s">
        <v>83</v>
      </c>
    </row>
    <row r="12" spans="1:14" x14ac:dyDescent="0.25">
      <c r="A12" s="72" t="s">
        <v>6</v>
      </c>
      <c r="B12" s="72" t="s">
        <v>54</v>
      </c>
      <c r="C12" s="72" t="s">
        <v>6</v>
      </c>
      <c r="D12" s="74" t="s">
        <v>6</v>
      </c>
      <c r="E12" s="74" t="s">
        <v>51</v>
      </c>
      <c r="F12" s="74" t="s">
        <v>6</v>
      </c>
      <c r="G12" s="74" t="s">
        <v>6</v>
      </c>
      <c r="H12" s="74" t="s">
        <v>84</v>
      </c>
      <c r="I12" s="74" t="s">
        <v>52</v>
      </c>
      <c r="J12" s="74" t="s">
        <v>6</v>
      </c>
      <c r="K12" s="74" t="s">
        <v>53</v>
      </c>
      <c r="L12" s="74" t="s">
        <v>6</v>
      </c>
      <c r="M12" s="74" t="s">
        <v>6</v>
      </c>
      <c r="N12" s="74" t="s">
        <v>6</v>
      </c>
    </row>
    <row r="13" spans="1:14" x14ac:dyDescent="0.25">
      <c r="A13" s="72" t="s">
        <v>6</v>
      </c>
      <c r="B13" s="72" t="s">
        <v>29</v>
      </c>
      <c r="C13" s="72" t="s">
        <v>6</v>
      </c>
      <c r="D13" s="74" t="s">
        <v>6</v>
      </c>
      <c r="E13" s="74" t="s">
        <v>54</v>
      </c>
      <c r="F13" s="74" t="s">
        <v>6</v>
      </c>
      <c r="G13" s="74" t="s">
        <v>6</v>
      </c>
      <c r="H13" s="74" t="s">
        <v>85</v>
      </c>
      <c r="I13" s="74" t="s">
        <v>6</v>
      </c>
      <c r="J13" s="74" t="s">
        <v>55</v>
      </c>
      <c r="K13" s="74" t="s">
        <v>6</v>
      </c>
      <c r="L13" s="74" t="s">
        <v>6</v>
      </c>
      <c r="M13" s="74">
        <v>-26.54</v>
      </c>
      <c r="N13" s="74"/>
    </row>
    <row r="14" spans="1:14" x14ac:dyDescent="0.25">
      <c r="A14" s="72" t="s">
        <v>6</v>
      </c>
      <c r="B14" s="72" t="s">
        <v>33</v>
      </c>
      <c r="C14" s="72" t="s">
        <v>6</v>
      </c>
      <c r="D14" s="74" t="s">
        <v>6</v>
      </c>
      <c r="E14" s="74" t="s">
        <v>29</v>
      </c>
      <c r="F14" s="74" t="s">
        <v>6</v>
      </c>
      <c r="G14" s="74" t="s">
        <v>6</v>
      </c>
      <c r="H14" s="74" t="s">
        <v>30</v>
      </c>
      <c r="I14" s="74" t="s">
        <v>31</v>
      </c>
      <c r="J14" s="74" t="s">
        <v>6</v>
      </c>
      <c r="K14" s="74" t="s">
        <v>32</v>
      </c>
      <c r="L14" s="74" t="s">
        <v>6</v>
      </c>
      <c r="M14" s="74" t="s">
        <v>6</v>
      </c>
      <c r="N14" s="74">
        <v>-30.73</v>
      </c>
    </row>
    <row r="15" spans="1:14" x14ac:dyDescent="0.25">
      <c r="A15" s="72" t="s">
        <v>6</v>
      </c>
      <c r="B15" s="72" t="s">
        <v>34</v>
      </c>
      <c r="C15" s="72" t="s">
        <v>6</v>
      </c>
      <c r="D15" s="74" t="s">
        <v>6</v>
      </c>
      <c r="E15" s="74" t="s">
        <v>33</v>
      </c>
      <c r="F15" s="74" t="s">
        <v>6</v>
      </c>
      <c r="G15" s="74" t="s">
        <v>6</v>
      </c>
      <c r="H15" s="74" t="s">
        <v>74</v>
      </c>
      <c r="I15" s="74" t="s">
        <v>56</v>
      </c>
      <c r="J15" s="74" t="s">
        <v>6</v>
      </c>
      <c r="K15" s="74" t="s">
        <v>6</v>
      </c>
      <c r="L15" s="74" t="s">
        <v>6</v>
      </c>
      <c r="M15" s="74" t="s">
        <v>6</v>
      </c>
      <c r="N15" s="74" t="s">
        <v>6</v>
      </c>
    </row>
    <row r="16" spans="1:14" x14ac:dyDescent="0.25">
      <c r="A16" s="72" t="s">
        <v>6</v>
      </c>
      <c r="B16" s="72" t="s">
        <v>35</v>
      </c>
      <c r="C16" s="72" t="s">
        <v>6</v>
      </c>
      <c r="D16" s="74" t="s">
        <v>6</v>
      </c>
      <c r="E16" s="74" t="s">
        <v>34</v>
      </c>
      <c r="F16" s="74" t="s">
        <v>6</v>
      </c>
      <c r="G16" s="74" t="s">
        <v>6</v>
      </c>
      <c r="H16" s="78" t="s">
        <v>75</v>
      </c>
      <c r="I16" s="74" t="s">
        <v>6</v>
      </c>
      <c r="J16" s="74" t="s">
        <v>6</v>
      </c>
      <c r="K16" s="74" t="s">
        <v>6</v>
      </c>
      <c r="L16" s="74" t="s">
        <v>6</v>
      </c>
      <c r="M16" s="74" t="s">
        <v>6</v>
      </c>
      <c r="N16" s="74"/>
    </row>
    <row r="17" spans="1:14" x14ac:dyDescent="0.25">
      <c r="A17" s="72" t="s">
        <v>6</v>
      </c>
      <c r="B17" s="72" t="s">
        <v>57</v>
      </c>
      <c r="C17" s="72" t="s">
        <v>6</v>
      </c>
      <c r="D17" s="74" t="s">
        <v>6</v>
      </c>
      <c r="E17" s="74" t="s">
        <v>35</v>
      </c>
      <c r="F17" s="74" t="s">
        <v>6</v>
      </c>
      <c r="G17" s="74" t="s">
        <v>6</v>
      </c>
      <c r="H17" s="78">
        <v>42690</v>
      </c>
      <c r="I17" s="75">
        <v>42640</v>
      </c>
      <c r="J17" s="74" t="s">
        <v>6</v>
      </c>
      <c r="K17" s="74" t="s">
        <v>6</v>
      </c>
      <c r="L17" s="74">
        <f>YEARFRAC(H8,I17,3)</f>
        <v>7.1232876712328766E-2</v>
      </c>
      <c r="M17" s="74" t="s">
        <v>6</v>
      </c>
      <c r="N17" s="74" t="s">
        <v>6</v>
      </c>
    </row>
    <row r="18" spans="1:14" x14ac:dyDescent="0.25">
      <c r="A18" s="72" t="s">
        <v>6</v>
      </c>
      <c r="B18" s="72" t="s">
        <v>0</v>
      </c>
      <c r="C18" s="72" t="s">
        <v>6</v>
      </c>
      <c r="D18" s="74" t="s">
        <v>6</v>
      </c>
      <c r="E18" s="74" t="s">
        <v>57</v>
      </c>
      <c r="F18" s="74" t="s">
        <v>6</v>
      </c>
      <c r="G18" s="74" t="s">
        <v>6</v>
      </c>
      <c r="H18" s="78">
        <v>42690</v>
      </c>
      <c r="I18" s="75">
        <v>42641</v>
      </c>
      <c r="J18" s="74" t="s">
        <v>6</v>
      </c>
      <c r="K18" s="74" t="s">
        <v>6</v>
      </c>
      <c r="L18" s="74" t="s">
        <v>6</v>
      </c>
      <c r="M18" s="74" t="s">
        <v>6</v>
      </c>
      <c r="N18" s="74" t="s">
        <v>6</v>
      </c>
    </row>
    <row r="19" spans="1:14" x14ac:dyDescent="0.25">
      <c r="A19" s="72" t="s">
        <v>6</v>
      </c>
      <c r="B19" s="72" t="s">
        <v>86</v>
      </c>
      <c r="C19" s="72" t="s">
        <v>6</v>
      </c>
      <c r="D19" s="74" t="s">
        <v>6</v>
      </c>
      <c r="E19" s="74" t="s">
        <v>0</v>
      </c>
      <c r="F19" s="74" t="s">
        <v>6</v>
      </c>
      <c r="G19" s="74" t="s">
        <v>6</v>
      </c>
      <c r="H19" s="79">
        <v>50</v>
      </c>
      <c r="I19" s="74" t="s">
        <v>95</v>
      </c>
      <c r="J19" s="74" t="s">
        <v>6</v>
      </c>
      <c r="K19" s="74" t="s">
        <v>6</v>
      </c>
      <c r="L19" s="74" t="s">
        <v>6</v>
      </c>
      <c r="M19" s="74" t="s">
        <v>6</v>
      </c>
      <c r="N19" s="74" t="s">
        <v>6</v>
      </c>
    </row>
    <row r="20" spans="1:14" x14ac:dyDescent="0.25">
      <c r="A20" s="72" t="s">
        <v>6</v>
      </c>
      <c r="B20" s="72" t="s">
        <v>58</v>
      </c>
      <c r="C20" s="72" t="s">
        <v>6</v>
      </c>
      <c r="D20" s="74" t="s">
        <v>6</v>
      </c>
      <c r="E20" s="74" t="s">
        <v>86</v>
      </c>
      <c r="F20" s="74" t="s">
        <v>6</v>
      </c>
      <c r="G20" s="74" t="s">
        <v>6</v>
      </c>
      <c r="H20" s="79">
        <v>1000</v>
      </c>
      <c r="I20" s="79" t="s">
        <v>6</v>
      </c>
      <c r="J20" s="74" t="s">
        <v>6</v>
      </c>
      <c r="K20" s="74" t="s">
        <v>6</v>
      </c>
      <c r="L20" s="74" t="s">
        <v>6</v>
      </c>
      <c r="M20" s="74" t="s">
        <v>6</v>
      </c>
      <c r="N20" s="74"/>
    </row>
    <row r="21" spans="1:14" x14ac:dyDescent="0.25">
      <c r="A21" s="72" t="s">
        <v>6</v>
      </c>
      <c r="B21" s="72" t="s">
        <v>36</v>
      </c>
      <c r="C21" s="72" t="s">
        <v>6</v>
      </c>
      <c r="D21" s="74" t="s">
        <v>6</v>
      </c>
      <c r="E21" s="74" t="s">
        <v>58</v>
      </c>
      <c r="F21" s="74" t="s">
        <v>6</v>
      </c>
      <c r="G21" s="74" t="s">
        <v>6</v>
      </c>
      <c r="H21" s="74" t="s">
        <v>87</v>
      </c>
      <c r="I21" s="79">
        <v>1000</v>
      </c>
      <c r="J21" s="74" t="s">
        <v>6</v>
      </c>
      <c r="K21" s="74" t="s">
        <v>6</v>
      </c>
      <c r="L21" s="74" t="s">
        <v>6</v>
      </c>
      <c r="M21" s="74" t="s">
        <v>6</v>
      </c>
      <c r="N21" s="74" t="s">
        <v>6</v>
      </c>
    </row>
    <row r="22" spans="1:14" x14ac:dyDescent="0.25">
      <c r="A22" s="72" t="s">
        <v>6</v>
      </c>
      <c r="B22" s="72" t="s">
        <v>37</v>
      </c>
      <c r="C22" s="72" t="s">
        <v>6</v>
      </c>
      <c r="D22" s="74" t="s">
        <v>6</v>
      </c>
      <c r="E22" s="74" t="s">
        <v>36</v>
      </c>
      <c r="F22" s="74" t="s">
        <v>6</v>
      </c>
      <c r="G22" s="74" t="s">
        <v>6</v>
      </c>
      <c r="H22" s="74" t="s">
        <v>59</v>
      </c>
      <c r="I22" s="74" t="s">
        <v>6</v>
      </c>
      <c r="J22" s="74" t="s">
        <v>6</v>
      </c>
      <c r="K22" s="74" t="s">
        <v>6</v>
      </c>
      <c r="L22" s="74" t="s">
        <v>6</v>
      </c>
      <c r="M22" s="74" t="s">
        <v>6</v>
      </c>
      <c r="N22" s="74"/>
    </row>
    <row r="23" spans="1:14" x14ac:dyDescent="0.25">
      <c r="A23" s="72" t="s">
        <v>6</v>
      </c>
      <c r="B23" s="72" t="s">
        <v>60</v>
      </c>
      <c r="C23" s="72" t="s">
        <v>6</v>
      </c>
      <c r="D23" s="74" t="s">
        <v>6</v>
      </c>
      <c r="E23" s="74" t="s">
        <v>37</v>
      </c>
      <c r="F23" s="74" t="s">
        <v>6</v>
      </c>
      <c r="G23" s="74" t="s">
        <v>6</v>
      </c>
      <c r="H23" s="74" t="s">
        <v>6</v>
      </c>
      <c r="I23" s="74" t="s">
        <v>6</v>
      </c>
      <c r="J23" s="74" t="s">
        <v>6</v>
      </c>
      <c r="K23" s="74"/>
      <c r="L23" s="74"/>
      <c r="M23" s="74"/>
      <c r="N23" s="74"/>
    </row>
    <row r="24" spans="1:14" x14ac:dyDescent="0.25">
      <c r="A24" s="72" t="s">
        <v>6</v>
      </c>
      <c r="B24" s="72" t="s">
        <v>61</v>
      </c>
      <c r="C24" s="72" t="s">
        <v>85</v>
      </c>
      <c r="D24" s="74" t="s">
        <v>6</v>
      </c>
      <c r="E24" s="74" t="s">
        <v>60</v>
      </c>
      <c r="F24" s="74" t="s">
        <v>6</v>
      </c>
      <c r="G24" s="74" t="s">
        <v>6</v>
      </c>
      <c r="H24" s="74">
        <v>-4.9219999999999997</v>
      </c>
      <c r="I24" s="79" t="s">
        <v>6</v>
      </c>
      <c r="J24" s="74" t="s">
        <v>6</v>
      </c>
      <c r="K24" s="74" t="s">
        <v>6</v>
      </c>
      <c r="L24" s="74" t="s">
        <v>6</v>
      </c>
      <c r="M24" s="74" t="s">
        <v>6</v>
      </c>
      <c r="N24" s="74"/>
    </row>
    <row r="25" spans="1:14" x14ac:dyDescent="0.25">
      <c r="A25" s="72" t="s">
        <v>6</v>
      </c>
      <c r="B25" s="72" t="s">
        <v>62</v>
      </c>
      <c r="C25" s="72" t="s">
        <v>6</v>
      </c>
      <c r="D25" s="74" t="s">
        <v>6</v>
      </c>
      <c r="E25" s="74" t="s">
        <v>61</v>
      </c>
      <c r="F25" s="74" t="s">
        <v>85</v>
      </c>
      <c r="G25" s="74" t="s">
        <v>6</v>
      </c>
      <c r="H25" s="75" t="s">
        <v>6</v>
      </c>
      <c r="I25" s="79">
        <v>-4922.03</v>
      </c>
      <c r="J25" s="74" t="s">
        <v>6</v>
      </c>
      <c r="K25" s="74" t="s">
        <v>6</v>
      </c>
      <c r="L25" s="74" t="s">
        <v>6</v>
      </c>
      <c r="M25" s="74" t="s">
        <v>6</v>
      </c>
      <c r="N25" s="74" t="s">
        <v>6</v>
      </c>
    </row>
    <row r="26" spans="1:14" x14ac:dyDescent="0.25">
      <c r="A26" s="72" t="s">
        <v>6</v>
      </c>
      <c r="B26" s="72" t="s">
        <v>63</v>
      </c>
      <c r="C26" s="72" t="s">
        <v>6</v>
      </c>
      <c r="D26" s="74" t="s">
        <v>6</v>
      </c>
      <c r="E26" s="74" t="s">
        <v>62</v>
      </c>
      <c r="F26" s="74" t="s">
        <v>6</v>
      </c>
      <c r="G26" s="74" t="s">
        <v>6</v>
      </c>
      <c r="H26" s="75">
        <v>39829</v>
      </c>
      <c r="I26" s="74" t="s">
        <v>6</v>
      </c>
      <c r="J26" s="74" t="s">
        <v>6</v>
      </c>
      <c r="K26" s="74" t="s">
        <v>6</v>
      </c>
      <c r="L26" s="74" t="s">
        <v>6</v>
      </c>
      <c r="M26" s="74" t="s">
        <v>6</v>
      </c>
      <c r="N26" s="74"/>
    </row>
    <row r="27" spans="1:14" x14ac:dyDescent="0.25">
      <c r="A27" s="72" t="s">
        <v>6</v>
      </c>
      <c r="B27" s="72" t="s">
        <v>64</v>
      </c>
      <c r="C27" s="72" t="s">
        <v>6</v>
      </c>
      <c r="D27" s="74" t="s">
        <v>6</v>
      </c>
      <c r="E27" s="74" t="s">
        <v>63</v>
      </c>
      <c r="F27" s="74" t="s">
        <v>6</v>
      </c>
      <c r="G27" s="74" t="s">
        <v>6</v>
      </c>
      <c r="H27" s="77">
        <v>0.83070900000000003</v>
      </c>
      <c r="I27" s="74" t="s">
        <v>6</v>
      </c>
      <c r="J27" s="74" t="s">
        <v>6</v>
      </c>
      <c r="K27" s="74" t="s">
        <v>6</v>
      </c>
      <c r="L27" s="74" t="s">
        <v>6</v>
      </c>
      <c r="M27" s="74" t="s">
        <v>6</v>
      </c>
      <c r="N27" s="74"/>
    </row>
    <row r="28" spans="1:14" x14ac:dyDescent="0.25">
      <c r="A28" s="72" t="s">
        <v>6</v>
      </c>
      <c r="B28" s="72" t="s">
        <v>65</v>
      </c>
      <c r="C28" s="72" t="s">
        <v>6</v>
      </c>
      <c r="D28" s="74" t="s">
        <v>6</v>
      </c>
      <c r="E28" s="74" t="s">
        <v>64</v>
      </c>
      <c r="F28" s="74" t="s">
        <v>6</v>
      </c>
      <c r="G28" s="74" t="s">
        <v>6</v>
      </c>
      <c r="H28" s="77">
        <v>0.82979000000000003</v>
      </c>
      <c r="I28" s="74" t="s">
        <v>6</v>
      </c>
      <c r="J28" s="74" t="s">
        <v>6</v>
      </c>
      <c r="K28" s="74" t="s">
        <v>6</v>
      </c>
      <c r="L28" s="74" t="s">
        <v>6</v>
      </c>
      <c r="M28" s="74" t="s">
        <v>6</v>
      </c>
      <c r="N28" s="74"/>
    </row>
    <row r="29" spans="1:14" x14ac:dyDescent="0.25">
      <c r="A29" s="69"/>
      <c r="B29" s="69"/>
      <c r="C29" s="69"/>
      <c r="D29" s="74" t="s">
        <v>6</v>
      </c>
      <c r="E29" s="74" t="s">
        <v>65</v>
      </c>
      <c r="F29" s="74" t="s">
        <v>6</v>
      </c>
      <c r="G29" s="74" t="s">
        <v>6</v>
      </c>
      <c r="H29" s="74">
        <v>-830.71</v>
      </c>
      <c r="I29" s="74" t="s">
        <v>6</v>
      </c>
      <c r="J29" s="74" t="s">
        <v>6</v>
      </c>
      <c r="K29" s="74" t="s">
        <v>6</v>
      </c>
      <c r="L29" s="74" t="s">
        <v>6</v>
      </c>
      <c r="M29" s="74" t="s">
        <v>6</v>
      </c>
      <c r="N29" s="74"/>
    </row>
    <row r="30" spans="1:14" x14ac:dyDescent="0.25">
      <c r="A30" s="61"/>
      <c r="B30" s="61"/>
      <c r="C30" s="61"/>
      <c r="D30" s="61"/>
      <c r="E30" s="61"/>
      <c r="F30" s="61"/>
      <c r="G30" s="61"/>
      <c r="H30" s="61"/>
      <c r="I30" s="61" t="s">
        <v>6</v>
      </c>
      <c r="J30" s="61" t="s">
        <v>6</v>
      </c>
      <c r="K30" s="6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A30DE-DA36-4E7A-9C33-7CE819243D70}">
  <sheetPr codeName="Sheet6"/>
  <dimension ref="A1:N16"/>
  <sheetViews>
    <sheetView tabSelected="1" workbookViewId="0">
      <selection activeCell="M21" sqref="M21"/>
    </sheetView>
  </sheetViews>
  <sheetFormatPr defaultRowHeight="15" x14ac:dyDescent="0.25"/>
  <sheetData>
    <row r="1" spans="1:14" x14ac:dyDescent="0.25">
      <c r="A1" t="s">
        <v>117</v>
      </c>
      <c r="B1" s="87"/>
    </row>
    <row r="2" spans="1:14" x14ac:dyDescent="0.25">
      <c r="A2" s="87" t="s">
        <v>110</v>
      </c>
      <c r="B2" s="87"/>
    </row>
    <row r="4" spans="1:14" x14ac:dyDescent="0.25">
      <c r="A4" t="s">
        <v>127</v>
      </c>
    </row>
    <row r="5" spans="1:14" x14ac:dyDescent="0.25">
      <c r="A5" t="s">
        <v>126</v>
      </c>
    </row>
    <row r="6" spans="1:14" x14ac:dyDescent="0.25">
      <c r="E6" t="s">
        <v>128</v>
      </c>
    </row>
    <row r="7" spans="1:14" x14ac:dyDescent="0.25">
      <c r="N7" t="s">
        <v>133</v>
      </c>
    </row>
    <row r="8" spans="1:14" x14ac:dyDescent="0.25">
      <c r="I8" t="s">
        <v>129</v>
      </c>
      <c r="N8" t="s">
        <v>134</v>
      </c>
    </row>
    <row r="11" spans="1:14" x14ac:dyDescent="0.25">
      <c r="I11" t="s">
        <v>130</v>
      </c>
    </row>
    <row r="12" spans="1:14" x14ac:dyDescent="0.25">
      <c r="I12" t="s">
        <v>131</v>
      </c>
    </row>
    <row r="13" spans="1:14" x14ac:dyDescent="0.25">
      <c r="I13" t="s">
        <v>132</v>
      </c>
    </row>
    <row r="16" spans="1:14" x14ac:dyDescent="0.25">
      <c r="H16" t="s">
        <v>136</v>
      </c>
      <c r="N16" t="s">
        <v>135</v>
      </c>
    </row>
  </sheetData>
  <hyperlinks>
    <hyperlink ref="A2" r:id="rId1" display="https://digitalcommons.georgiasouthern.edu/cgi/viewcontent.cgi?article=1247&amp;context=honors-theses" xr:uid="{D9B51DA8-0CEC-4DC5-A85E-A0730B80F978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93121-26BA-4EFF-B9D2-5048DBAF39F2}">
  <sheetPr codeName="Sheet5"/>
  <dimension ref="A1:AG34"/>
  <sheetViews>
    <sheetView zoomScaleNormal="100" workbookViewId="0">
      <selection activeCell="C18" sqref="C18"/>
    </sheetView>
  </sheetViews>
  <sheetFormatPr defaultRowHeight="15" x14ac:dyDescent="0.25"/>
  <cols>
    <col min="1" max="1" width="18.140625" customWidth="1"/>
    <col min="2" max="2" width="9.5703125" bestFit="1" customWidth="1"/>
    <col min="19" max="19" width="9.140625" style="74"/>
    <col min="20" max="20" width="20.42578125" bestFit="1" customWidth="1"/>
  </cols>
  <sheetData>
    <row r="1" spans="1:33" x14ac:dyDescent="0.25">
      <c r="A1" t="s">
        <v>96</v>
      </c>
      <c r="B1" s="81">
        <v>0.50136986301369868</v>
      </c>
      <c r="E1" s="91" t="s">
        <v>104</v>
      </c>
      <c r="F1" s="92"/>
      <c r="G1" s="81">
        <v>0</v>
      </c>
      <c r="H1" s="85">
        <v>1</v>
      </c>
      <c r="I1" s="85">
        <v>2</v>
      </c>
      <c r="J1" s="85">
        <v>3</v>
      </c>
      <c r="K1" s="85">
        <v>4</v>
      </c>
      <c r="L1" s="85">
        <v>5</v>
      </c>
      <c r="M1" s="85">
        <v>6</v>
      </c>
      <c r="N1" s="85">
        <v>7</v>
      </c>
      <c r="O1" s="85">
        <v>8</v>
      </c>
      <c r="P1" s="85">
        <v>9</v>
      </c>
      <c r="Q1" s="85">
        <v>10</v>
      </c>
      <c r="R1" s="74"/>
      <c r="T1" s="74"/>
      <c r="U1" s="26" t="s">
        <v>7</v>
      </c>
      <c r="V1" s="74">
        <v>1</v>
      </c>
      <c r="W1" s="74">
        <v>2</v>
      </c>
      <c r="X1" s="74">
        <v>3</v>
      </c>
      <c r="Y1" s="74">
        <v>4</v>
      </c>
      <c r="Z1" s="74">
        <v>5</v>
      </c>
      <c r="AA1" s="74">
        <v>6</v>
      </c>
      <c r="AB1" s="74">
        <v>7</v>
      </c>
      <c r="AC1" s="74">
        <v>8</v>
      </c>
      <c r="AD1" s="74">
        <v>9</v>
      </c>
      <c r="AE1" s="74">
        <v>10</v>
      </c>
    </row>
    <row r="2" spans="1:33" x14ac:dyDescent="0.25">
      <c r="A2" t="s">
        <v>97</v>
      </c>
      <c r="B2" s="81">
        <f>10</f>
        <v>10</v>
      </c>
      <c r="E2" s="93"/>
      <c r="F2" s="94"/>
      <c r="G2" s="81">
        <v>0</v>
      </c>
      <c r="H2" s="84">
        <f t="shared" ref="H2:Q2" si="0">$G$2+H1*$B$13</f>
        <v>5.0136986301369868E-2</v>
      </c>
      <c r="I2" s="84">
        <f t="shared" si="0"/>
        <v>0.10027397260273974</v>
      </c>
      <c r="J2" s="84">
        <f t="shared" si="0"/>
        <v>0.1504109589041096</v>
      </c>
      <c r="K2" s="84">
        <f t="shared" si="0"/>
        <v>0.20054794520547947</v>
      </c>
      <c r="L2" s="84">
        <f t="shared" si="0"/>
        <v>0.25068493150684934</v>
      </c>
      <c r="M2" s="84">
        <f t="shared" si="0"/>
        <v>0.30082191780821921</v>
      </c>
      <c r="N2" s="84">
        <f t="shared" si="0"/>
        <v>0.35095890410958908</v>
      </c>
      <c r="O2" s="84">
        <f t="shared" si="0"/>
        <v>0.40109589041095894</v>
      </c>
      <c r="P2" s="84">
        <f t="shared" si="0"/>
        <v>0.45123287671232881</v>
      </c>
      <c r="Q2" s="84">
        <f t="shared" si="0"/>
        <v>0.50136986301369868</v>
      </c>
      <c r="S2" s="74" t="s">
        <v>116</v>
      </c>
      <c r="T2" s="26" t="s">
        <v>106</v>
      </c>
      <c r="U2" s="81">
        <f>G2</f>
        <v>0</v>
      </c>
      <c r="V2" s="84">
        <f ca="1">($B$1-OFFSET($Q$2,0,-V1))*(($B$5*$B$5/2))</f>
        <v>6.098322307808219E-4</v>
      </c>
      <c r="W2" s="101">
        <f t="shared" ref="W2:AE2" ca="1" si="1">($B$1-OFFSET($Q$2,0,-W1))*(($B$5*$B$5/2))</f>
        <v>1.2196644615616438E-3</v>
      </c>
      <c r="X2" s="101">
        <f t="shared" ca="1" si="1"/>
        <v>1.8294966923424658E-3</v>
      </c>
      <c r="Y2" s="101">
        <f t="shared" ca="1" si="1"/>
        <v>2.4393289231232876E-3</v>
      </c>
      <c r="Z2" s="101">
        <f t="shared" ca="1" si="1"/>
        <v>3.0491611539041098E-3</v>
      </c>
      <c r="AA2" s="101">
        <f t="shared" ca="1" si="1"/>
        <v>3.6589933846849316E-3</v>
      </c>
      <c r="AB2" s="101">
        <f t="shared" ca="1" si="1"/>
        <v>4.2688256154657534E-3</v>
      </c>
      <c r="AC2" s="101">
        <f t="shared" ca="1" si="1"/>
        <v>4.8786578462465752E-3</v>
      </c>
      <c r="AD2" s="101">
        <f t="shared" ca="1" si="1"/>
        <v>5.488490077027397E-3</v>
      </c>
      <c r="AE2" s="101">
        <f t="shared" ca="1" si="1"/>
        <v>6.0983223078082197E-3</v>
      </c>
      <c r="AG2" s="26" t="s">
        <v>115</v>
      </c>
    </row>
    <row r="3" spans="1:33" x14ac:dyDescent="0.25">
      <c r="A3" t="s">
        <v>103</v>
      </c>
      <c r="B3" s="81">
        <v>20</v>
      </c>
      <c r="E3" s="81">
        <v>0</v>
      </c>
      <c r="F3">
        <f>B12</f>
        <v>26.40319999999997</v>
      </c>
      <c r="G3" s="89">
        <f>MAX(0,F3-$B$7)</f>
        <v>0</v>
      </c>
      <c r="H3" s="89">
        <v>0</v>
      </c>
      <c r="I3" s="89">
        <v>0</v>
      </c>
      <c r="J3" s="89">
        <v>0</v>
      </c>
      <c r="K3" s="89">
        <v>0</v>
      </c>
      <c r="L3" s="89">
        <v>0</v>
      </c>
      <c r="M3" s="89">
        <v>0</v>
      </c>
      <c r="N3" s="89">
        <v>0</v>
      </c>
      <c r="O3" s="89">
        <v>0</v>
      </c>
      <c r="P3" s="89">
        <v>0</v>
      </c>
      <c r="Q3" s="95">
        <f>MAX(0,F3-$B$7)</f>
        <v>0</v>
      </c>
      <c r="S3" s="96">
        <f>MAX(EXP(T3)-$B$7,0)</f>
        <v>0</v>
      </c>
      <c r="T3" s="74">
        <f>LN(F3)</f>
        <v>3.2734852149278857</v>
      </c>
      <c r="U3" s="96">
        <f>EXP(-$B$16*T3)*S3</f>
        <v>0</v>
      </c>
      <c r="V3" s="89">
        <f>G3</f>
        <v>0</v>
      </c>
      <c r="W3" s="89">
        <f t="shared" ref="W3:AE3" si="2">H3</f>
        <v>0</v>
      </c>
      <c r="X3" s="89">
        <f t="shared" si="2"/>
        <v>0</v>
      </c>
      <c r="Y3" s="89">
        <f t="shared" si="2"/>
        <v>0</v>
      </c>
      <c r="Z3" s="89">
        <f t="shared" si="2"/>
        <v>0</v>
      </c>
      <c r="AA3" s="89">
        <f t="shared" si="2"/>
        <v>0</v>
      </c>
      <c r="AB3" s="89">
        <f t="shared" si="2"/>
        <v>0</v>
      </c>
      <c r="AC3" s="89">
        <f t="shared" si="2"/>
        <v>0</v>
      </c>
      <c r="AD3" s="89">
        <f t="shared" si="2"/>
        <v>0</v>
      </c>
      <c r="AE3" s="89">
        <f t="shared" si="2"/>
        <v>0</v>
      </c>
      <c r="AG3" s="89">
        <f ca="1">EXP($B$16*T3+$B$17*$AE$2)*AE3</f>
        <v>0</v>
      </c>
    </row>
    <row r="4" spans="1:33" x14ac:dyDescent="0.25">
      <c r="A4" t="s">
        <v>41</v>
      </c>
      <c r="B4">
        <f>B6*EXP(B8*B1)</f>
        <v>526.86790895446552</v>
      </c>
      <c r="E4" s="86">
        <v>1</v>
      </c>
      <c r="F4">
        <f>$B$12+E4*$B$14</f>
        <v>76.40319999999997</v>
      </c>
      <c r="Q4" s="95">
        <f t="shared" ref="Q4:Q23" si="3">MAX(0,F4-$B$7)</f>
        <v>0</v>
      </c>
      <c r="S4" s="96">
        <f>MAX(EXP(T4)-$B$7,0)</f>
        <v>0</v>
      </c>
      <c r="T4" s="74">
        <f t="shared" ref="T4:T23" si="4">LN(F4)</f>
        <v>4.3360245801120838</v>
      </c>
      <c r="U4" s="96">
        <f>EXP(-$B$16*T4)*S4</f>
        <v>0</v>
      </c>
      <c r="V4">
        <f ca="1">$U$27*(U3)+(1-2*$U$27)*U4+$U$27*U5</f>
        <v>0</v>
      </c>
      <c r="W4" s="74">
        <f t="shared" ref="W4:AE4" ca="1" si="5">$U$27*(V3)+(1-2*$U$27)*V4+$U$27*V5</f>
        <v>0</v>
      </c>
      <c r="X4" s="74">
        <f t="shared" ca="1" si="5"/>
        <v>0</v>
      </c>
      <c r="Y4" s="74">
        <f t="shared" ca="1" si="5"/>
        <v>0</v>
      </c>
      <c r="Z4" s="74">
        <f t="shared" ca="1" si="5"/>
        <v>0</v>
      </c>
      <c r="AA4" s="74">
        <f t="shared" ca="1" si="5"/>
        <v>0</v>
      </c>
      <c r="AB4" s="74">
        <f t="shared" ca="1" si="5"/>
        <v>9.2484156311649144E-19</v>
      </c>
      <c r="AC4" s="74">
        <f t="shared" ca="1" si="5"/>
        <v>7.369270720757832E-18</v>
      </c>
      <c r="AD4" s="74">
        <f t="shared" ca="1" si="5"/>
        <v>3.3029711457652984E-17</v>
      </c>
      <c r="AE4" s="74">
        <f t="shared" ca="1" si="5"/>
        <v>1.0966091095679179E-16</v>
      </c>
      <c r="AG4" s="89">
        <f t="shared" ref="AG4:AG23" ca="1" si="6">EXP($B$16*T4+$B$17*$AE$2)*AE4</f>
        <v>6.9903580870507258E-16</v>
      </c>
    </row>
    <row r="5" spans="1:33" x14ac:dyDescent="0.25">
      <c r="A5" t="s">
        <v>98</v>
      </c>
      <c r="B5" s="83">
        <v>0.15597</v>
      </c>
      <c r="E5" s="86">
        <v>2</v>
      </c>
      <c r="F5" s="74">
        <f t="shared" ref="F4:F23" si="7">$B$12+E5*$B$14</f>
        <v>126.40319999999997</v>
      </c>
      <c r="Q5" s="95">
        <f t="shared" si="3"/>
        <v>0</v>
      </c>
      <c r="S5" s="96">
        <f>MAX(EXP(T5)-$B$7,0)</f>
        <v>0</v>
      </c>
      <c r="T5" s="74">
        <f t="shared" si="4"/>
        <v>4.8394767978479969</v>
      </c>
      <c r="U5" s="96">
        <f t="shared" ref="U4:U23" si="8">EXP(-$B$16*T5)*S5</f>
        <v>0</v>
      </c>
      <c r="V5" s="74">
        <f t="shared" ref="V5:AE22" ca="1" si="9">$U$27*(U4)+(1-2*$U$27)*U5+$U$27*U6</f>
        <v>0</v>
      </c>
      <c r="W5" s="74">
        <f t="shared" ca="1" si="9"/>
        <v>0</v>
      </c>
      <c r="X5" s="74">
        <f t="shared" ca="1" si="9"/>
        <v>0</v>
      </c>
      <c r="Y5" s="74">
        <f t="shared" ca="1" si="9"/>
        <v>0</v>
      </c>
      <c r="Z5" s="74">
        <f t="shared" ca="1" si="9"/>
        <v>0</v>
      </c>
      <c r="AA5" s="74">
        <f t="shared" ca="1" si="9"/>
        <v>3.8439123988184554E-16</v>
      </c>
      <c r="AB5" s="74">
        <f t="shared" ca="1" si="9"/>
        <v>2.680343181935878E-15</v>
      </c>
      <c r="AC5" s="74">
        <f t="shared" ca="1" si="9"/>
        <v>1.0679969240558934E-14</v>
      </c>
      <c r="AD5" s="74">
        <f t="shared" ca="1" si="9"/>
        <v>3.191623026714752E-14</v>
      </c>
      <c r="AE5" s="74">
        <f t="shared" ca="1" si="9"/>
        <v>7.9482708334599983E-14</v>
      </c>
      <c r="AG5" s="89">
        <f t="shared" ca="1" si="6"/>
        <v>6.2838340519972704E-13</v>
      </c>
    </row>
    <row r="6" spans="1:33" x14ac:dyDescent="0.25">
      <c r="A6" t="s">
        <v>99</v>
      </c>
      <c r="B6" s="81">
        <v>526.40319999999997</v>
      </c>
      <c r="E6" s="86">
        <v>3</v>
      </c>
      <c r="F6" s="74">
        <f t="shared" si="7"/>
        <v>176.40319999999997</v>
      </c>
      <c r="Q6" s="95">
        <f t="shared" si="3"/>
        <v>0</v>
      </c>
      <c r="S6" s="96">
        <f>MAX(EXP(T6)-$B$7,0)</f>
        <v>0</v>
      </c>
      <c r="T6" s="74">
        <f t="shared" si="4"/>
        <v>5.1727722839977215</v>
      </c>
      <c r="U6" s="96">
        <f t="shared" si="8"/>
        <v>0</v>
      </c>
      <c r="V6" s="74">
        <f t="shared" ca="1" si="9"/>
        <v>0</v>
      </c>
      <c r="W6" s="74">
        <f t="shared" ca="1" si="9"/>
        <v>0</v>
      </c>
      <c r="X6" s="74">
        <f t="shared" ca="1" si="9"/>
        <v>0</v>
      </c>
      <c r="Y6" s="74">
        <f t="shared" ca="1" si="9"/>
        <v>0</v>
      </c>
      <c r="Z6" s="74">
        <f t="shared" ca="1" si="9"/>
        <v>1.5976425713394472E-13</v>
      </c>
      <c r="AA6" s="74">
        <f t="shared" ca="1" si="9"/>
        <v>9.5503365217411692E-13</v>
      </c>
      <c r="AB6" s="74">
        <f t="shared" ca="1" si="9"/>
        <v>3.3302386401307488E-12</v>
      </c>
      <c r="AC6" s="74">
        <f t="shared" ca="1" si="9"/>
        <v>8.8477646077842923E-12</v>
      </c>
      <c r="AD6" s="74">
        <f t="shared" ca="1" si="9"/>
        <v>1.9833820816483273E-11</v>
      </c>
      <c r="AE6" s="74">
        <f t="shared" ca="1" si="9"/>
        <v>3.9520963471339872E-11</v>
      </c>
      <c r="AG6" s="89">
        <f t="shared" ca="1" si="6"/>
        <v>3.6031423173642121E-10</v>
      </c>
    </row>
    <row r="7" spans="1:33" x14ac:dyDescent="0.25">
      <c r="A7" t="s">
        <v>0</v>
      </c>
      <c r="B7" s="101">
        <v>400</v>
      </c>
      <c r="E7" s="86">
        <v>4</v>
      </c>
      <c r="F7" s="74">
        <f t="shared" si="7"/>
        <v>226.40319999999997</v>
      </c>
      <c r="Q7" s="95">
        <f t="shared" si="3"/>
        <v>0</v>
      </c>
      <c r="S7" s="96">
        <f>MAX(EXP(T7)-$B$7,0)</f>
        <v>0</v>
      </c>
      <c r="T7" s="74">
        <f t="shared" si="4"/>
        <v>5.4223174805047583</v>
      </c>
      <c r="U7" s="96">
        <f t="shared" si="8"/>
        <v>0</v>
      </c>
      <c r="V7" s="74">
        <f t="shared" ca="1" si="9"/>
        <v>0</v>
      </c>
      <c r="W7" s="74">
        <f t="shared" ca="1" si="9"/>
        <v>0</v>
      </c>
      <c r="X7" s="74">
        <f t="shared" ca="1" si="9"/>
        <v>0</v>
      </c>
      <c r="Y7" s="74">
        <f t="shared" ca="1" si="9"/>
        <v>6.6402704352489882E-11</v>
      </c>
      <c r="Z7" s="74">
        <f t="shared" ca="1" si="9"/>
        <v>3.3085678050525806E-10</v>
      </c>
      <c r="AA7" s="74">
        <f t="shared" ca="1" si="9"/>
        <v>9.8911443960416641E-10</v>
      </c>
      <c r="AB7" s="74">
        <f t="shared" ca="1" si="9"/>
        <v>2.2999031833573714E-9</v>
      </c>
      <c r="AC7" s="74">
        <f t="shared" ca="1" si="9"/>
        <v>4.583811563148711E-9</v>
      </c>
      <c r="AD7" s="74">
        <f t="shared" ca="1" si="9"/>
        <v>8.2221887989586058E-9</v>
      </c>
      <c r="AE7" s="74">
        <f t="shared" ca="1" si="9"/>
        <v>1.3656058107205964E-8</v>
      </c>
      <c r="AG7" s="89">
        <f t="shared" ca="1" si="6"/>
        <v>1.3852444962685533E-7</v>
      </c>
    </row>
    <row r="8" spans="1:33" x14ac:dyDescent="0.25">
      <c r="A8" t="s">
        <v>15</v>
      </c>
      <c r="B8" s="102">
        <v>1.7600000000000001E-3</v>
      </c>
      <c r="E8" s="86">
        <v>5</v>
      </c>
      <c r="F8" s="74">
        <f t="shared" si="7"/>
        <v>276.40319999999997</v>
      </c>
      <c r="Q8" s="95">
        <f t="shared" si="3"/>
        <v>0</v>
      </c>
      <c r="S8" s="96">
        <f>MAX(EXP(T8)-$B$7,0)</f>
        <v>0</v>
      </c>
      <c r="T8" s="74">
        <f t="shared" si="4"/>
        <v>5.6218606692505197</v>
      </c>
      <c r="U8" s="96">
        <f t="shared" si="8"/>
        <v>0</v>
      </c>
      <c r="V8" s="74">
        <f t="shared" ca="1" si="9"/>
        <v>0</v>
      </c>
      <c r="W8" s="74">
        <f t="shared" ca="1" si="9"/>
        <v>0</v>
      </c>
      <c r="X8" s="74">
        <f t="shared" ca="1" si="9"/>
        <v>2.7598908694749233E-8</v>
      </c>
      <c r="Y8" s="74">
        <f t="shared" ca="1" si="9"/>
        <v>1.1004766464321196E-7</v>
      </c>
      <c r="Z8" s="74">
        <f t="shared" ca="1" si="9"/>
        <v>2.742527156062487E-7</v>
      </c>
      <c r="AA8" s="74">
        <f t="shared" ca="1" si="9"/>
        <v>5.4677946540860588E-7</v>
      </c>
      <c r="AB8" s="74">
        <f t="shared" ca="1" si="9"/>
        <v>9.5385568862083054E-7</v>
      </c>
      <c r="AC8" s="74">
        <f t="shared" ca="1" si="9"/>
        <v>1.5213749133540595E-6</v>
      </c>
      <c r="AD8" s="74">
        <f t="shared" ca="1" si="9"/>
        <v>2.2748997724579899E-6</v>
      </c>
      <c r="AE8" s="74">
        <f t="shared" ca="1" si="9"/>
        <v>3.2396653234097223E-6</v>
      </c>
      <c r="AG8" s="89">
        <f t="shared" ca="1" si="6"/>
        <v>3.5790000592174612E-5</v>
      </c>
    </row>
    <row r="9" spans="1:33" x14ac:dyDescent="0.25">
      <c r="A9" t="s">
        <v>109</v>
      </c>
      <c r="B9" s="90">
        <v>0</v>
      </c>
      <c r="E9" s="86">
        <v>6</v>
      </c>
      <c r="F9" s="74">
        <f t="shared" si="7"/>
        <v>326.40319999999997</v>
      </c>
      <c r="Q9" s="95">
        <f t="shared" si="3"/>
        <v>0</v>
      </c>
      <c r="S9" s="96">
        <f>MAX(EXP(T9)-$B$7,0)</f>
        <v>0</v>
      </c>
      <c r="T9" s="74">
        <f t="shared" si="4"/>
        <v>5.7881334269634621</v>
      </c>
      <c r="U9" s="96">
        <f t="shared" si="8"/>
        <v>0</v>
      </c>
      <c r="V9" s="74">
        <f t="shared" ca="1" si="9"/>
        <v>0</v>
      </c>
      <c r="W9" s="74">
        <f t="shared" ca="1" si="9"/>
        <v>1.1470914755184117E-5</v>
      </c>
      <c r="X9" s="74">
        <f t="shared" ca="1" si="9"/>
        <v>3.4323315503351814E-5</v>
      </c>
      <c r="Y9" s="74">
        <f t="shared" ca="1" si="9"/>
        <v>6.846845725396788E-5</v>
      </c>
      <c r="Z9" s="74">
        <f t="shared" ca="1" si="9"/>
        <v>1.1381827340573052E-4</v>
      </c>
      <c r="AA9" s="74">
        <f t="shared" ca="1" si="9"/>
        <v>1.7028537040773302E-4</v>
      </c>
      <c r="AB9" s="74">
        <f t="shared" ca="1" si="9"/>
        <v>2.377830224638575E-4</v>
      </c>
      <c r="AC9" s="74">
        <f t="shared" ca="1" si="9"/>
        <v>3.1622516628004247E-4</v>
      </c>
      <c r="AD9" s="74">
        <f t="shared" ca="1" si="9"/>
        <v>4.0552639585406862E-4</v>
      </c>
      <c r="AE9" s="74">
        <f t="shared" ca="1" si="9"/>
        <v>5.0560195730751088E-4</v>
      </c>
      <c r="AG9" s="89">
        <f t="shared" ca="1" si="6"/>
        <v>5.9972421024268221E-3</v>
      </c>
    </row>
    <row r="10" spans="1:33" x14ac:dyDescent="0.25">
      <c r="A10" s="82" t="s">
        <v>100</v>
      </c>
      <c r="B10" s="81">
        <v>3</v>
      </c>
      <c r="E10" s="86">
        <v>7</v>
      </c>
      <c r="F10" s="74">
        <f t="shared" si="7"/>
        <v>376.40319999999997</v>
      </c>
      <c r="Q10" s="95">
        <f t="shared" si="3"/>
        <v>0</v>
      </c>
      <c r="S10" s="96">
        <f>MAX(EXP(T10)-$B$7,0)</f>
        <v>0</v>
      </c>
      <c r="T10" s="74">
        <f t="shared" si="4"/>
        <v>5.9306609092691351</v>
      </c>
      <c r="U10" s="96">
        <f t="shared" si="8"/>
        <v>0</v>
      </c>
      <c r="V10" s="74">
        <f t="shared" ca="1" si="9"/>
        <v>4.7676481260918299E-3</v>
      </c>
      <c r="W10" s="74">
        <f t="shared" ca="1" si="9"/>
        <v>9.5210688689831239E-3</v>
      </c>
      <c r="X10" s="74">
        <f t="shared" ca="1" si="9"/>
        <v>1.4260339967770822E-2</v>
      </c>
      <c r="Y10" s="74">
        <f t="shared" ca="1" si="9"/>
        <v>1.8985538639968994E-2</v>
      </c>
      <c r="Z10" s="74">
        <f t="shared" ca="1" si="9"/>
        <v>2.3696741585383398E-2</v>
      </c>
      <c r="AA10" s="74">
        <f t="shared" ca="1" si="9"/>
        <v>2.8394024989955476E-2</v>
      </c>
      <c r="AB10" s="74">
        <f t="shared" ca="1" si="9"/>
        <v>3.3077464529576037E-2</v>
      </c>
      <c r="AC10" s="74">
        <f t="shared" ca="1" si="9"/>
        <v>3.7747135373868881E-2</v>
      </c>
      <c r="AD10" s="74">
        <f t="shared" ca="1" si="9"/>
        <v>4.2403112189944629E-2</v>
      </c>
      <c r="AE10" s="74">
        <f t="shared" ca="1" si="9"/>
        <v>4.7045469146124896E-2</v>
      </c>
      <c r="AG10" s="89">
        <f t="shared" ca="1" si="6"/>
        <v>0.59310527312823347</v>
      </c>
    </row>
    <row r="11" spans="1:33" x14ac:dyDescent="0.25">
      <c r="A11" t="s">
        <v>101</v>
      </c>
      <c r="B11" s="84">
        <f>B6+500</f>
        <v>1026.4032</v>
      </c>
      <c r="E11" s="86">
        <v>8</v>
      </c>
      <c r="F11" s="74">
        <f t="shared" si="7"/>
        <v>426.40319999999997</v>
      </c>
      <c r="Q11" s="95">
        <f t="shared" si="3"/>
        <v>26.40319999999997</v>
      </c>
      <c r="S11" s="96">
        <f>MAX(EXP(T11)-$B$7,0)</f>
        <v>26.40320000000014</v>
      </c>
      <c r="T11" s="74">
        <f t="shared" si="4"/>
        <v>6.0553853775139066</v>
      </c>
      <c r="U11" s="96">
        <f t="shared" si="8"/>
        <v>1.981574193457782</v>
      </c>
      <c r="V11" s="74">
        <f t="shared" ca="1" si="9"/>
        <v>1.9851961725680551</v>
      </c>
      <c r="W11" s="74">
        <f t="shared" ca="1" si="9"/>
        <v>1.9888105366426403</v>
      </c>
      <c r="X11" s="74">
        <f t="shared" ca="1" si="9"/>
        <v>1.9924173138033767</v>
      </c>
      <c r="Y11" s="74">
        <f t="shared" ca="1" si="9"/>
        <v>1.9960165320555459</v>
      </c>
      <c r="Z11" s="74">
        <f t="shared" ca="1" si="9"/>
        <v>1.9996082192883018</v>
      </c>
      <c r="AA11" s="74">
        <f t="shared" ca="1" si="9"/>
        <v>2.0031924032750985</v>
      </c>
      <c r="AB11" s="74">
        <f t="shared" ca="1" si="9"/>
        <v>2.0067691116741178</v>
      </c>
      <c r="AC11" s="74">
        <f t="shared" ca="1" si="9"/>
        <v>2.0103383720286967</v>
      </c>
      <c r="AD11" s="74">
        <f t="shared" ca="1" si="9"/>
        <v>2.0139002117677545</v>
      </c>
      <c r="AE11" s="74">
        <f t="shared" ca="1" si="9"/>
        <v>2.0174546582062174</v>
      </c>
      <c r="AG11" s="89">
        <f t="shared" ca="1" si="6"/>
        <v>26.827636768613431</v>
      </c>
    </row>
    <row r="12" spans="1:33" x14ac:dyDescent="0.25">
      <c r="A12" t="s">
        <v>102</v>
      </c>
      <c r="B12" s="84">
        <f>B6-500</f>
        <v>26.40319999999997</v>
      </c>
      <c r="E12" s="86">
        <v>9</v>
      </c>
      <c r="F12" s="74">
        <f t="shared" si="7"/>
        <v>476.40319999999997</v>
      </c>
      <c r="Q12" s="95">
        <f t="shared" si="3"/>
        <v>76.40319999999997</v>
      </c>
      <c r="S12" s="96">
        <f>MAX(EXP(T12)-$B$7,0)</f>
        <v>76.403199999999913</v>
      </c>
      <c r="T12" s="74">
        <f t="shared" si="4"/>
        <v>6.1662645545030861</v>
      </c>
      <c r="U12" s="96">
        <f t="shared" si="8"/>
        <v>5.4685489836756371</v>
      </c>
      <c r="V12" s="74">
        <f t="shared" ca="1" si="9"/>
        <v>5.4678602619132564</v>
      </c>
      <c r="W12" s="74">
        <f t="shared" ca="1" si="9"/>
        <v>5.4671822257225386</v>
      </c>
      <c r="X12" s="74">
        <f t="shared" ca="1" si="9"/>
        <v>5.4665148051635821</v>
      </c>
      <c r="Y12" s="74">
        <f t="shared" ca="1" si="9"/>
        <v>5.4658579307631916</v>
      </c>
      <c r="Z12" s="74">
        <f t="shared" ca="1" si="9"/>
        <v>5.4652115335116394</v>
      </c>
      <c r="AA12" s="74">
        <f t="shared" ca="1" si="9"/>
        <v>5.4645755448594588</v>
      </c>
      <c r="AB12" s="74">
        <f t="shared" ca="1" si="9"/>
        <v>5.4639498967142588</v>
      </c>
      <c r="AC12" s="74">
        <f t="shared" ca="1" si="9"/>
        <v>5.4633345214375595</v>
      </c>
      <c r="AD12" s="74">
        <f t="shared" ca="1" si="9"/>
        <v>5.4627293518416522</v>
      </c>
      <c r="AE12" s="74">
        <f t="shared" ca="1" si="9"/>
        <v>5.4621343211864817</v>
      </c>
      <c r="AG12" s="89">
        <f t="shared" ca="1" si="6"/>
        <v>76.161278315090016</v>
      </c>
    </row>
    <row r="13" spans="1:33" x14ac:dyDescent="0.25">
      <c r="A13" t="s">
        <v>4</v>
      </c>
      <c r="B13" s="80">
        <f>B1/B2</f>
        <v>5.0136986301369868E-2</v>
      </c>
      <c r="E13" s="86">
        <v>10</v>
      </c>
      <c r="F13" s="74">
        <f t="shared" si="7"/>
        <v>526.40319999999997</v>
      </c>
      <c r="Q13" s="95">
        <f t="shared" si="3"/>
        <v>126.40319999999997</v>
      </c>
      <c r="S13" s="96">
        <f>MAX(EXP(T13)-$B$7,0)</f>
        <v>126.40320000000008</v>
      </c>
      <c r="T13" s="74">
        <f t="shared" si="4"/>
        <v>6.2660674590199861</v>
      </c>
      <c r="U13" s="96">
        <f t="shared" si="8"/>
        <v>8.6692708385442963</v>
      </c>
      <c r="V13" s="74">
        <f t="shared" ca="1" si="9"/>
        <v>8.668712652445171</v>
      </c>
      <c r="W13" s="74">
        <f t="shared" ca="1" si="9"/>
        <v>8.6681543834545725</v>
      </c>
      <c r="X13" s="74">
        <f t="shared" ca="1" si="9"/>
        <v>8.6675960575458184</v>
      </c>
      <c r="Y13" s="74">
        <f t="shared" ca="1" si="9"/>
        <v>8.6670377003989163</v>
      </c>
      <c r="Z13" s="74">
        <f t="shared" ca="1" si="9"/>
        <v>8.6664793374032332</v>
      </c>
      <c r="AA13" s="74">
        <f t="shared" ca="1" si="9"/>
        <v>8.6659209936601744</v>
      </c>
      <c r="AB13" s="74">
        <f t="shared" ca="1" si="9"/>
        <v>8.6653626939858128</v>
      </c>
      <c r="AC13" s="74">
        <f t="shared" ca="1" si="9"/>
        <v>8.6648044629135068</v>
      </c>
      <c r="AD13" s="74">
        <f t="shared" ca="1" si="9"/>
        <v>8.6642463246964905</v>
      </c>
      <c r="AE13" s="74">
        <f t="shared" ca="1" si="9"/>
        <v>8.6636883033104564</v>
      </c>
      <c r="AG13" s="89">
        <f t="shared" ca="1" si="6"/>
        <v>126.06970125376425</v>
      </c>
    </row>
    <row r="14" spans="1:33" x14ac:dyDescent="0.25">
      <c r="A14" t="s">
        <v>10</v>
      </c>
      <c r="B14" s="80">
        <f>(B11-B12)/B3</f>
        <v>50</v>
      </c>
      <c r="E14" s="86">
        <v>11</v>
      </c>
      <c r="F14" s="74">
        <f t="shared" si="7"/>
        <v>576.40319999999997</v>
      </c>
      <c r="Q14" s="95">
        <f t="shared" si="3"/>
        <v>176.40319999999997</v>
      </c>
      <c r="S14" s="96">
        <f>MAX(EXP(T14)-$B$7,0)</f>
        <v>176.4032000000002</v>
      </c>
      <c r="T14" s="74">
        <f t="shared" si="4"/>
        <v>6.3568074158101648</v>
      </c>
      <c r="U14" s="96">
        <f t="shared" si="8"/>
        <v>11.637994202769077</v>
      </c>
      <c r="V14" s="74">
        <f t="shared" ca="1" si="9"/>
        <v>11.637532100209725</v>
      </c>
      <c r="W14" s="74">
        <f t="shared" ca="1" si="9"/>
        <v>11.637069941567617</v>
      </c>
      <c r="X14" s="74">
        <f t="shared" ca="1" si="9"/>
        <v>11.636607726818683</v>
      </c>
      <c r="Y14" s="74">
        <f t="shared" ca="1" si="9"/>
        <v>11.636145456001426</v>
      </c>
      <c r="Z14" s="74">
        <f t="shared" ca="1" si="9"/>
        <v>11.635683129215915</v>
      </c>
      <c r="AA14" s="74">
        <f t="shared" ca="1" si="9"/>
        <v>11.635220746622792</v>
      </c>
      <c r="AB14" s="74">
        <f t="shared" ca="1" si="9"/>
        <v>11.634758308442287</v>
      </c>
      <c r="AC14" s="74">
        <f t="shared" ca="1" si="9"/>
        <v>11.634295814953241</v>
      </c>
      <c r="AD14" s="74">
        <f t="shared" ca="1" si="9"/>
        <v>11.633833266492156</v>
      </c>
      <c r="AE14" s="74">
        <f t="shared" ca="1" si="9"/>
        <v>11.633370663452236</v>
      </c>
      <c r="AG14" s="89">
        <f t="shared" ca="1" si="6"/>
        <v>175.98120835662459</v>
      </c>
    </row>
    <row r="15" spans="1:33" x14ac:dyDescent="0.25">
      <c r="E15" s="86">
        <v>12</v>
      </c>
      <c r="F15" s="74">
        <f t="shared" si="7"/>
        <v>626.40319999999997</v>
      </c>
      <c r="Q15" s="95">
        <f t="shared" si="3"/>
        <v>226.40319999999997</v>
      </c>
      <c r="S15" s="96">
        <f>MAX(EXP(T15)-$B$7,0)</f>
        <v>226.40320000000008</v>
      </c>
      <c r="T15" s="74">
        <f t="shared" si="4"/>
        <v>6.4399942532203776</v>
      </c>
      <c r="U15" s="96">
        <f t="shared" si="8"/>
        <v>14.414654209522229</v>
      </c>
      <c r="V15" s="74">
        <f t="shared" ca="1" si="9"/>
        <v>14.414264880866874</v>
      </c>
      <c r="W15" s="74">
        <f t="shared" ca="1" si="9"/>
        <v>14.413875512933028</v>
      </c>
      <c r="X15" s="74">
        <f t="shared" ca="1" si="9"/>
        <v>14.41348610570663</v>
      </c>
      <c r="Y15" s="74">
        <f t="shared" ca="1" si="9"/>
        <v>14.413096659173606</v>
      </c>
      <c r="Z15" s="74">
        <f t="shared" ca="1" si="9"/>
        <v>14.412707173320021</v>
      </c>
      <c r="AA15" s="74">
        <f t="shared" ca="1" si="9"/>
        <v>14.412317648132227</v>
      </c>
      <c r="AB15" s="74">
        <f t="shared" ca="1" si="9"/>
        <v>14.41192808359701</v>
      </c>
      <c r="AC15" s="74">
        <f t="shared" ca="1" si="9"/>
        <v>14.411538479701726</v>
      </c>
      <c r="AD15" s="74">
        <f t="shared" ca="1" si="9"/>
        <v>14.411148836434444</v>
      </c>
      <c r="AE15" s="74">
        <f t="shared" ca="1" si="9"/>
        <v>14.410759153784079</v>
      </c>
      <c r="AG15" s="89">
        <f t="shared" ca="1" si="6"/>
        <v>225.89030883484386</v>
      </c>
    </row>
    <row r="16" spans="1:33" x14ac:dyDescent="0.25">
      <c r="A16" t="s">
        <v>108</v>
      </c>
      <c r="B16">
        <f>-(B18-1)/2</f>
        <v>0.42765133471428024</v>
      </c>
      <c r="E16" s="86">
        <v>13</v>
      </c>
      <c r="F16" s="74">
        <f t="shared" si="7"/>
        <v>676.40319999999997</v>
      </c>
      <c r="Q16" s="95">
        <f t="shared" si="3"/>
        <v>276.40319999999997</v>
      </c>
      <c r="S16" s="96">
        <f>MAX(EXP(T16)-$B$7,0)</f>
        <v>276.40320000000008</v>
      </c>
      <c r="T16" s="74">
        <f t="shared" si="4"/>
        <v>6.5167893479416792</v>
      </c>
      <c r="U16" s="96">
        <f>EXP(-$B$16*T16)*S16</f>
        <v>17.029497824667075</v>
      </c>
      <c r="V16" s="74">
        <f t="shared" ca="1" si="9"/>
        <v>17.029164944624917</v>
      </c>
      <c r="W16" s="74">
        <f t="shared" ca="1" si="9"/>
        <v>17.028832036263555</v>
      </c>
      <c r="X16" s="74">
        <f t="shared" ca="1" si="9"/>
        <v>17.028499099574404</v>
      </c>
      <c r="Y16" s="74">
        <f t="shared" ca="1" si="9"/>
        <v>17.028166134548872</v>
      </c>
      <c r="Z16" s="74">
        <f t="shared" ca="1" si="9"/>
        <v>17.027833141178363</v>
      </c>
      <c r="AA16" s="74">
        <f t="shared" ca="1" si="9"/>
        <v>17.02750011945427</v>
      </c>
      <c r="AB16" s="74">
        <f t="shared" ca="1" si="9"/>
        <v>17.027167069367987</v>
      </c>
      <c r="AC16" s="74">
        <f t="shared" ca="1" si="9"/>
        <v>17.026833990910905</v>
      </c>
      <c r="AD16" s="74">
        <f t="shared" ca="1" si="9"/>
        <v>17.026500884074409</v>
      </c>
      <c r="AE16" s="74">
        <f t="shared" ca="1" si="9"/>
        <v>17.026167748849886</v>
      </c>
      <c r="AG16" s="89">
        <f t="shared" ca="1" si="6"/>
        <v>275.79763656411575</v>
      </c>
    </row>
    <row r="17" spans="1:33" x14ac:dyDescent="0.25">
      <c r="A17" t="s">
        <v>107</v>
      </c>
      <c r="B17">
        <f>-((B18+1)^2)/4</f>
        <v>-0.32758299465434482</v>
      </c>
      <c r="E17" s="86">
        <v>14</v>
      </c>
      <c r="F17" s="74">
        <f t="shared" si="7"/>
        <v>726.40319999999997</v>
      </c>
      <c r="Q17" s="95">
        <f t="shared" si="3"/>
        <v>326.40319999999997</v>
      </c>
      <c r="S17" s="96">
        <f>MAX(EXP(T17)-$B$7,0)</f>
        <v>326.40319999999974</v>
      </c>
      <c r="T17" s="74">
        <f t="shared" si="4"/>
        <v>6.5881052325637235</v>
      </c>
      <c r="U17" s="96">
        <f t="shared" si="8"/>
        <v>19.505986745085078</v>
      </c>
      <c r="V17" s="74">
        <f t="shared" ca="1" si="9"/>
        <v>19.505698543365671</v>
      </c>
      <c r="W17" s="74">
        <f t="shared" ca="1" si="9"/>
        <v>19.50541032071763</v>
      </c>
      <c r="X17" s="74">
        <f t="shared" ca="1" si="9"/>
        <v>19.505122077135507</v>
      </c>
      <c r="Y17" s="74">
        <f t="shared" ca="1" si="9"/>
        <v>19.50483381261386</v>
      </c>
      <c r="Z17" s="74">
        <f t="shared" ca="1" si="9"/>
        <v>19.504545527147247</v>
      </c>
      <c r="AA17" s="74">
        <f t="shared" ca="1" si="9"/>
        <v>19.504257220730214</v>
      </c>
      <c r="AB17" s="74">
        <f t="shared" ca="1" si="9"/>
        <v>19.503968893357303</v>
      </c>
      <c r="AC17" s="74">
        <f t="shared" ca="1" si="9"/>
        <v>19.503680545023062</v>
      </c>
      <c r="AD17" s="74">
        <f t="shared" ca="1" si="9"/>
        <v>19.503392175722023</v>
      </c>
      <c r="AE17" s="74">
        <f t="shared" ca="1" si="9"/>
        <v>19.503103785448729</v>
      </c>
      <c r="AG17" s="89">
        <f t="shared" ca="1" si="6"/>
        <v>325.70364732827869</v>
      </c>
    </row>
    <row r="18" spans="1:33" x14ac:dyDescent="0.25">
      <c r="A18" t="s">
        <v>111</v>
      </c>
      <c r="B18">
        <f>(2*B8)/(B5^2)</f>
        <v>0.14469733057143949</v>
      </c>
      <c r="E18" s="86">
        <v>15</v>
      </c>
      <c r="F18" s="74">
        <f t="shared" si="7"/>
        <v>776.40319999999997</v>
      </c>
      <c r="Q18" s="95">
        <f t="shared" si="3"/>
        <v>376.40319999999997</v>
      </c>
      <c r="S18" s="96">
        <f>MAX(EXP(T18)-$B$7,0)</f>
        <v>376.4032000000002</v>
      </c>
      <c r="T18" s="74">
        <f t="shared" si="4"/>
        <v>6.6546719728731727</v>
      </c>
      <c r="U18" s="96">
        <f t="shared" si="8"/>
        <v>21.862690590224108</v>
      </c>
      <c r="V18" s="74">
        <f t="shared" ca="1" si="9"/>
        <v>21.862438368273637</v>
      </c>
      <c r="W18" s="74">
        <f t="shared" ca="1" si="9"/>
        <v>21.862186130523249</v>
      </c>
      <c r="X18" s="74">
        <f t="shared" ca="1" si="9"/>
        <v>21.861933876969381</v>
      </c>
      <c r="Y18" s="74">
        <f t="shared" ca="1" si="9"/>
        <v>21.861681607608471</v>
      </c>
      <c r="Z18" s="74">
        <f t="shared" ca="1" si="9"/>
        <v>21.861429322436958</v>
      </c>
      <c r="AA18" s="74">
        <f t="shared" ca="1" si="9"/>
        <v>21.861177021451276</v>
      </c>
      <c r="AB18" s="74">
        <f t="shared" ca="1" si="9"/>
        <v>21.86092470464785</v>
      </c>
      <c r="AC18" s="74">
        <f t="shared" ca="1" si="9"/>
        <v>21.860672372023114</v>
      </c>
      <c r="AD18" s="74">
        <f t="shared" ca="1" si="9"/>
        <v>21.860420023573504</v>
      </c>
      <c r="AE18" s="74">
        <f t="shared" ca="1" si="9"/>
        <v>21.860167659295456</v>
      </c>
      <c r="AG18" s="89">
        <f t="shared" ca="1" si="6"/>
        <v>375.60865755582313</v>
      </c>
    </row>
    <row r="19" spans="1:33" x14ac:dyDescent="0.25">
      <c r="E19" s="86">
        <v>16</v>
      </c>
      <c r="F19" s="74">
        <f t="shared" si="7"/>
        <v>826.40319999999997</v>
      </c>
      <c r="Q19" s="95">
        <f t="shared" si="3"/>
        <v>426.40319999999997</v>
      </c>
      <c r="S19" s="96">
        <f>MAX(EXP(T19)-$B$7,0)</f>
        <v>426.40319999999997</v>
      </c>
      <c r="T19" s="74">
        <f t="shared" si="4"/>
        <v>6.7170827900147758</v>
      </c>
      <c r="U19" s="96">
        <f t="shared" si="8"/>
        <v>24.114563605810105</v>
      </c>
      <c r="V19" s="74">
        <f t="shared" ca="1" si="9"/>
        <v>24.114340796720459</v>
      </c>
      <c r="W19" s="74">
        <f t="shared" ca="1" si="9"/>
        <v>24.114117975479317</v>
      </c>
      <c r="X19" s="74">
        <f t="shared" ca="1" si="9"/>
        <v>24.113895142084285</v>
      </c>
      <c r="Y19" s="74">
        <f t="shared" ca="1" si="9"/>
        <v>24.113672296532961</v>
      </c>
      <c r="Z19" s="74">
        <f t="shared" ca="1" si="9"/>
        <v>24.113449438823075</v>
      </c>
      <c r="AA19" s="74">
        <f t="shared" ca="1" si="9"/>
        <v>24.113226568952602</v>
      </c>
      <c r="AB19" s="74">
        <f t="shared" ca="1" si="9"/>
        <v>24.113003686919878</v>
      </c>
      <c r="AC19" s="74">
        <f t="shared" ca="1" si="9"/>
        <v>24.112780792723743</v>
      </c>
      <c r="AD19" s="74">
        <f t="shared" ca="1" si="9"/>
        <v>24.112557886363621</v>
      </c>
      <c r="AE19" s="74">
        <f t="shared" ca="1" si="9"/>
        <v>24.112334967839669</v>
      </c>
      <c r="AG19" s="89">
        <f t="shared" ca="1" si="6"/>
        <v>425.51289275580666</v>
      </c>
    </row>
    <row r="20" spans="1:33" x14ac:dyDescent="0.25">
      <c r="A20" t="s">
        <v>122</v>
      </c>
      <c r="B20">
        <f>EXP(B8*B1)</f>
        <v>1.0008828003979944</v>
      </c>
      <c r="E20" s="86">
        <v>17</v>
      </c>
      <c r="F20" s="74">
        <f t="shared" si="7"/>
        <v>876.40319999999997</v>
      </c>
      <c r="Q20" s="95">
        <f t="shared" si="3"/>
        <v>476.40319999999997</v>
      </c>
      <c r="S20" s="96">
        <f>MAX(EXP(T20)-$B$7,0)</f>
        <v>476.40319999999963</v>
      </c>
      <c r="T20" s="74">
        <f t="shared" si="4"/>
        <v>6.775826259015421</v>
      </c>
      <c r="U20" s="96">
        <f t="shared" si="8"/>
        <v>26.273830638230343</v>
      </c>
      <c r="V20" s="74">
        <f t="shared" ca="1" si="9"/>
        <v>26.27363219148404</v>
      </c>
      <c r="W20" s="74">
        <f t="shared" ca="1" si="9"/>
        <v>26.273433735238481</v>
      </c>
      <c r="X20" s="74">
        <f t="shared" ca="1" si="9"/>
        <v>26.273235269492012</v>
      </c>
      <c r="Y20" s="74">
        <f t="shared" ca="1" si="9"/>
        <v>26.273036794295177</v>
      </c>
      <c r="Z20" s="74">
        <f t="shared" ca="1" si="9"/>
        <v>26.272838309749961</v>
      </c>
      <c r="AA20" s="74">
        <f t="shared" ca="1" si="9"/>
        <v>26.27263981600905</v>
      </c>
      <c r="AB20" s="74">
        <f t="shared" ca="1" si="9"/>
        <v>26.27244131327511</v>
      </c>
      <c r="AC20" s="74">
        <f t="shared" ca="1" si="9"/>
        <v>26.272242801800044</v>
      </c>
      <c r="AD20" s="74">
        <f t="shared" ca="1" si="9"/>
        <v>26.272044281884298</v>
      </c>
      <c r="AE20" s="74">
        <f t="shared" ca="1" si="9"/>
        <v>26.271845753876146</v>
      </c>
      <c r="AG20" s="89">
        <f t="shared" ca="1" si="6"/>
        <v>475.41651757526608</v>
      </c>
    </row>
    <row r="21" spans="1:33" x14ac:dyDescent="0.25">
      <c r="E21" s="86">
        <v>18</v>
      </c>
      <c r="F21" s="74">
        <f t="shared" si="7"/>
        <v>926.40319999999997</v>
      </c>
      <c r="Q21" s="95">
        <f t="shared" si="3"/>
        <v>526.40319999999997</v>
      </c>
      <c r="S21" s="96">
        <f>MAX(EXP(T21)-$B$7,0)</f>
        <v>526.4032000000002</v>
      </c>
      <c r="T21" s="74">
        <f t="shared" si="4"/>
        <v>6.8313095610441987</v>
      </c>
      <c r="U21" s="96">
        <f t="shared" si="8"/>
        <v>28.350617390888232</v>
      </c>
      <c r="V21" s="74">
        <f t="shared" ca="1" si="9"/>
        <v>28.35043935831688</v>
      </c>
      <c r="W21" s="74">
        <f t="shared" ca="1" si="9"/>
        <v>28.35026131821154</v>
      </c>
      <c r="X21" s="74">
        <f t="shared" ca="1" si="9"/>
        <v>28.350083292263982</v>
      </c>
      <c r="Y21" s="74">
        <f t="shared" ca="1" si="9"/>
        <v>28.349905301959559</v>
      </c>
      <c r="Z21" s="74">
        <f t="shared" ca="1" si="9"/>
        <v>28.349727368578943</v>
      </c>
      <c r="AA21" s="74">
        <f t="shared" ca="1" si="9"/>
        <v>28.349549513199847</v>
      </c>
      <c r="AB21" s="74">
        <f t="shared" ca="1" si="9"/>
        <v>28.349371756698716</v>
      </c>
      <c r="AC21" s="74">
        <f t="shared" ca="1" si="9"/>
        <v>28.349194119752454</v>
      </c>
      <c r="AD21" s="74">
        <f t="shared" ca="1" si="9"/>
        <v>28.349016622840068</v>
      </c>
      <c r="AE21" s="74">
        <f t="shared" ca="1" si="9"/>
        <v>28.348839286244349</v>
      </c>
      <c r="AG21" s="89">
        <f t="shared" ca="1" si="6"/>
        <v>525.31970123878659</v>
      </c>
    </row>
    <row r="22" spans="1:33" x14ac:dyDescent="0.25">
      <c r="A22" s="88"/>
      <c r="B22" s="26" t="s">
        <v>105</v>
      </c>
      <c r="E22" s="86">
        <v>19</v>
      </c>
      <c r="F22" s="74">
        <f t="shared" si="7"/>
        <v>976.40319999999997</v>
      </c>
      <c r="Q22" s="95">
        <f t="shared" si="3"/>
        <v>576.40319999999997</v>
      </c>
      <c r="S22" s="96">
        <f>MAX(EXP(T22)-$B$7,0)</f>
        <v>576.40320000000031</v>
      </c>
      <c r="T22" s="74">
        <f t="shared" si="4"/>
        <v>6.883875615858785</v>
      </c>
      <c r="U22" s="96">
        <f t="shared" si="8"/>
        <v>30.353408592772571</v>
      </c>
      <c r="V22" s="74">
        <f t="shared" ca="1" si="9"/>
        <v>30.353247843029653</v>
      </c>
      <c r="W22" s="74">
        <f t="shared" ca="1" si="9"/>
        <v>30.353096103453822</v>
      </c>
      <c r="X22" s="74">
        <f t="shared" ca="1" si="9"/>
        <v>30.352953331636662</v>
      </c>
      <c r="Y22" s="74">
        <f t="shared" ca="1" si="9"/>
        <v>30.352819485426124</v>
      </c>
      <c r="Z22" s="74">
        <f t="shared" ca="1" si="9"/>
        <v>30.352694522924789</v>
      </c>
      <c r="AA22" s="74">
        <f t="shared" ca="1" si="9"/>
        <v>30.35257840248816</v>
      </c>
      <c r="AB22" s="74">
        <f t="shared" ca="1" si="9"/>
        <v>30.352471082722953</v>
      </c>
      <c r="AC22" s="74">
        <f t="shared" ca="1" si="9"/>
        <v>30.3523725224854</v>
      </c>
      <c r="AD22" s="74">
        <f t="shared" ca="1" si="9"/>
        <v>30.352282680879579</v>
      </c>
      <c r="AE22" s="74">
        <f t="shared" ca="1" si="9"/>
        <v>30.35220151725574</v>
      </c>
      <c r="AG22" s="89">
        <f t="shared" ca="1" si="6"/>
        <v>575.22998857440484</v>
      </c>
    </row>
    <row r="23" spans="1:33" x14ac:dyDescent="0.25">
      <c r="E23" s="86">
        <v>20</v>
      </c>
      <c r="F23" s="74">
        <f t="shared" si="7"/>
        <v>1026.4032</v>
      </c>
      <c r="G23" s="85">
        <f t="shared" ref="G23:O23" si="10">EXP(-$B$8*($B$1-G2))*$Q$23</f>
        <v>625.85069875405486</v>
      </c>
      <c r="H23" s="85">
        <f t="shared" si="10"/>
        <v>625.90592694223881</v>
      </c>
      <c r="I23" s="85">
        <f t="shared" si="10"/>
        <v>625.96116000403356</v>
      </c>
      <c r="J23" s="85">
        <f t="shared" si="10"/>
        <v>626.01639793986931</v>
      </c>
      <c r="K23" s="85">
        <f t="shared" si="10"/>
        <v>626.07164075017613</v>
      </c>
      <c r="L23" s="85">
        <f t="shared" si="10"/>
        <v>626.1268884353841</v>
      </c>
      <c r="M23" s="85">
        <f t="shared" si="10"/>
        <v>626.18214099592353</v>
      </c>
      <c r="N23" s="85">
        <f t="shared" si="10"/>
        <v>626.2373984322245</v>
      </c>
      <c r="O23" s="85">
        <f t="shared" si="10"/>
        <v>626.29266074471741</v>
      </c>
      <c r="P23" s="85">
        <f>EXP(-$B$8*($B$1-P2))*$Q$23</f>
        <v>626.34792793383247</v>
      </c>
      <c r="Q23" s="95">
        <f t="shared" si="3"/>
        <v>626.40319999999997</v>
      </c>
      <c r="S23" s="96">
        <f>MAX(EXP(T23)-$B$7,0)</f>
        <v>626.4032000000002</v>
      </c>
      <c r="T23" s="74">
        <f t="shared" si="4"/>
        <v>6.933815930989474</v>
      </c>
      <c r="U23" s="96">
        <f t="shared" si="8"/>
        <v>32.289387493551182</v>
      </c>
      <c r="V23" s="85">
        <f t="shared" ref="V23:AC23" ca="1" si="11">EXP(-($B$16*$T$23+$B$17*V2))*OFFSET($Q$23,0,-V1)</f>
        <v>32.292988915963612</v>
      </c>
      <c r="W23" s="85">
        <f t="shared" ca="1" si="11"/>
        <v>32.296590740063543</v>
      </c>
      <c r="X23" s="85">
        <f t="shared" ca="1" si="11"/>
        <v>32.300192965895789</v>
      </c>
      <c r="Y23" s="85">
        <f t="shared" ca="1" si="11"/>
        <v>32.30379559350515</v>
      </c>
      <c r="Z23" s="85">
        <f t="shared" ca="1" si="11"/>
        <v>32.307398622936432</v>
      </c>
      <c r="AA23" s="85">
        <f t="shared" ca="1" si="11"/>
        <v>32.311002054234443</v>
      </c>
      <c r="AB23" s="85">
        <f t="shared" ca="1" si="11"/>
        <v>32.314605887444031</v>
      </c>
      <c r="AC23" s="85">
        <f t="shared" ca="1" si="11"/>
        <v>32.318210122610019</v>
      </c>
      <c r="AD23" s="85">
        <f ca="1">EXP(-($B$16*$T$23+$B$17*AD2))*OFFSET($Q$23,0,-AD1)</f>
        <v>32.321814759777212</v>
      </c>
      <c r="AE23" s="85">
        <f t="shared" ref="W23:AE23" ca="1" si="12">EXP(-$B$16*$T$23)*OFFSET($Q$23,0,-AE1)</f>
        <v>32.260907551525023</v>
      </c>
      <c r="AG23" s="89">
        <f t="shared" ca="1" si="6"/>
        <v>624.60168063130459</v>
      </c>
    </row>
    <row r="25" spans="1:33" x14ac:dyDescent="0.25">
      <c r="T25" t="s">
        <v>112</v>
      </c>
      <c r="U25" s="96">
        <f>T5-T4</f>
        <v>0.50345221773591309</v>
      </c>
    </row>
    <row r="26" spans="1:33" x14ac:dyDescent="0.25">
      <c r="T26" t="s">
        <v>4</v>
      </c>
      <c r="U26" s="96">
        <f ca="1">W2-V2</f>
        <v>6.098322307808219E-4</v>
      </c>
    </row>
    <row r="27" spans="1:33" x14ac:dyDescent="0.25">
      <c r="T27" t="s">
        <v>113</v>
      </c>
      <c r="U27" s="84">
        <f ca="1">U26/(U25^2)</f>
        <v>2.4059902181974022E-3</v>
      </c>
    </row>
    <row r="28" spans="1:33" x14ac:dyDescent="0.25">
      <c r="E28" s="87"/>
    </row>
    <row r="29" spans="1:33" x14ac:dyDescent="0.25">
      <c r="E29" s="87"/>
    </row>
    <row r="34" spans="20:20" x14ac:dyDescent="0.25">
      <c r="T34" t="s">
        <v>114</v>
      </c>
    </row>
  </sheetData>
  <mergeCells count="1">
    <mergeCell ref="E1:F2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3D7A2-E192-483B-A802-92D96FD34C59}">
  <sheetPr codeName="Sheet8"/>
  <dimension ref="A1:BK56"/>
  <sheetViews>
    <sheetView zoomScaleNormal="100" workbookViewId="0">
      <selection activeCell="E16" sqref="E16"/>
    </sheetView>
  </sheetViews>
  <sheetFormatPr defaultRowHeight="15" x14ac:dyDescent="0.25"/>
  <cols>
    <col min="1" max="1" width="12.7109375" style="99" bestFit="1" customWidth="1"/>
    <col min="2" max="3" width="9.140625" style="99"/>
    <col min="5" max="5" width="12" bestFit="1" customWidth="1"/>
    <col min="58" max="58" width="12" style="96" bestFit="1" customWidth="1"/>
  </cols>
  <sheetData>
    <row r="1" spans="2:58" x14ac:dyDescent="0.25">
      <c r="D1" t="s">
        <v>4</v>
      </c>
      <c r="E1" s="100">
        <f ca="1">Workings!AE2/50</f>
        <v>1.219664461561644E-4</v>
      </c>
      <c r="G1" s="81">
        <v>0</v>
      </c>
      <c r="H1" s="86">
        <v>1</v>
      </c>
      <c r="I1" s="86">
        <v>2</v>
      </c>
      <c r="J1" s="86">
        <v>3</v>
      </c>
      <c r="K1" s="86">
        <v>4</v>
      </c>
      <c r="L1" s="86">
        <v>5</v>
      </c>
      <c r="M1" s="86">
        <v>6</v>
      </c>
      <c r="N1" s="86">
        <v>7</v>
      </c>
      <c r="O1" s="86">
        <v>8</v>
      </c>
      <c r="P1" s="86">
        <v>9</v>
      </c>
      <c r="Q1" s="86">
        <v>10</v>
      </c>
      <c r="R1" s="86">
        <v>11</v>
      </c>
      <c r="S1" s="86">
        <v>12</v>
      </c>
      <c r="T1" s="86">
        <v>13</v>
      </c>
      <c r="U1" s="86">
        <v>14</v>
      </c>
      <c r="V1" s="86">
        <v>15</v>
      </c>
      <c r="W1" s="86">
        <v>16</v>
      </c>
      <c r="X1" s="86">
        <v>17</v>
      </c>
      <c r="Y1" s="86">
        <v>18</v>
      </c>
      <c r="Z1" s="86">
        <v>19</v>
      </c>
      <c r="AA1" s="86">
        <v>20</v>
      </c>
      <c r="AB1" s="86">
        <v>21</v>
      </c>
      <c r="AC1" s="86">
        <v>22</v>
      </c>
      <c r="AD1" s="86">
        <v>23</v>
      </c>
      <c r="AE1" s="86">
        <v>24</v>
      </c>
      <c r="AF1" s="86">
        <v>25</v>
      </c>
      <c r="AG1" s="86">
        <v>26</v>
      </c>
      <c r="AH1" s="86">
        <v>27</v>
      </c>
      <c r="AI1" s="86">
        <v>28</v>
      </c>
      <c r="AJ1" s="86">
        <v>29</v>
      </c>
      <c r="AK1" s="86">
        <v>30</v>
      </c>
      <c r="AL1" s="86">
        <v>31</v>
      </c>
      <c r="AM1" s="86">
        <v>32</v>
      </c>
      <c r="AN1" s="86">
        <v>33</v>
      </c>
      <c r="AO1" s="86">
        <v>34</v>
      </c>
      <c r="AP1" s="86">
        <v>35</v>
      </c>
      <c r="AQ1" s="86">
        <v>36</v>
      </c>
      <c r="AR1" s="86">
        <v>37</v>
      </c>
      <c r="AS1" s="86">
        <v>38</v>
      </c>
      <c r="AT1" s="86">
        <v>39</v>
      </c>
      <c r="AU1" s="86">
        <v>40</v>
      </c>
      <c r="AV1" s="86">
        <v>41</v>
      </c>
      <c r="AW1" s="86">
        <v>42</v>
      </c>
      <c r="AX1" s="86">
        <v>43</v>
      </c>
      <c r="AY1" s="86">
        <v>44</v>
      </c>
      <c r="AZ1" s="86">
        <v>45</v>
      </c>
      <c r="BA1" s="86">
        <v>46</v>
      </c>
      <c r="BB1" s="86">
        <v>47</v>
      </c>
      <c r="BC1" s="86">
        <v>48</v>
      </c>
      <c r="BD1" s="86">
        <v>49</v>
      </c>
      <c r="BE1" s="86">
        <v>50</v>
      </c>
    </row>
    <row r="2" spans="2:58" s="99" customFormat="1" x14ac:dyDescent="0.25">
      <c r="D2" s="99" t="s">
        <v>112</v>
      </c>
      <c r="E2" s="100">
        <f>E7-E6</f>
        <v>20</v>
      </c>
      <c r="F2" s="99" t="s">
        <v>120</v>
      </c>
      <c r="G2" s="100">
        <f>0</f>
        <v>0</v>
      </c>
      <c r="H2" s="99">
        <f ca="1">G2+$E$1</f>
        <v>1.219664461561644E-4</v>
      </c>
      <c r="I2" s="99">
        <f t="shared" ref="I2:BE2" ca="1" si="0">H2+$E$1</f>
        <v>2.439328923123288E-4</v>
      </c>
      <c r="J2" s="99">
        <f t="shared" ca="1" si="0"/>
        <v>3.6589933846849318E-4</v>
      </c>
      <c r="K2" s="99">
        <f t="shared" ca="1" si="0"/>
        <v>4.878657846246576E-4</v>
      </c>
      <c r="L2" s="99">
        <f t="shared" ca="1" si="0"/>
        <v>6.0983223078082201E-4</v>
      </c>
      <c r="M2" s="99">
        <f t="shared" ca="1" si="0"/>
        <v>7.3179867693698637E-4</v>
      </c>
      <c r="N2" s="99">
        <f t="shared" ca="1" si="0"/>
        <v>8.5376512309315073E-4</v>
      </c>
      <c r="O2" s="99">
        <f t="shared" ca="1" si="0"/>
        <v>9.7573156924931508E-4</v>
      </c>
      <c r="P2" s="99">
        <f t="shared" ca="1" si="0"/>
        <v>1.0976980154054794E-3</v>
      </c>
      <c r="Q2" s="99">
        <f t="shared" ca="1" si="0"/>
        <v>1.2196644615616438E-3</v>
      </c>
      <c r="R2" s="99">
        <f t="shared" ca="1" si="0"/>
        <v>1.3416309077178082E-3</v>
      </c>
      <c r="S2" s="99">
        <f t="shared" ca="1" si="0"/>
        <v>1.4635973538739725E-3</v>
      </c>
      <c r="T2" s="99">
        <f t="shared" ca="1" si="0"/>
        <v>1.5855638000301369E-3</v>
      </c>
      <c r="U2" s="99">
        <f t="shared" ca="1" si="0"/>
        <v>1.7075302461863012E-3</v>
      </c>
      <c r="V2" s="99">
        <f t="shared" ca="1" si="0"/>
        <v>1.8294966923424656E-3</v>
      </c>
      <c r="W2" s="99">
        <f t="shared" ca="1" si="0"/>
        <v>1.95146313849863E-3</v>
      </c>
      <c r="X2" s="99">
        <f t="shared" ca="1" si="0"/>
        <v>2.0734295846547945E-3</v>
      </c>
      <c r="Y2" s="99">
        <f t="shared" ca="1" si="0"/>
        <v>2.1953960308109589E-3</v>
      </c>
      <c r="Z2" s="99">
        <f t="shared" ca="1" si="0"/>
        <v>2.3173624769671232E-3</v>
      </c>
      <c r="AA2" s="99">
        <f t="shared" ca="1" si="0"/>
        <v>2.4393289231232876E-3</v>
      </c>
      <c r="AB2" s="99">
        <f t="shared" ca="1" si="0"/>
        <v>2.561295369279452E-3</v>
      </c>
      <c r="AC2" s="99">
        <f t="shared" ca="1" si="0"/>
        <v>2.6832618154356163E-3</v>
      </c>
      <c r="AD2" s="99">
        <f t="shared" ca="1" si="0"/>
        <v>2.8052282615917807E-3</v>
      </c>
      <c r="AE2" s="99">
        <f t="shared" ca="1" si="0"/>
        <v>2.927194707747945E-3</v>
      </c>
      <c r="AF2" s="99">
        <f t="shared" ca="1" si="0"/>
        <v>3.0491611539041094E-3</v>
      </c>
      <c r="AG2" s="99">
        <f t="shared" ca="1" si="0"/>
        <v>3.1711276000602738E-3</v>
      </c>
      <c r="AH2" s="99">
        <f t="shared" ca="1" si="0"/>
        <v>3.2930940462164381E-3</v>
      </c>
      <c r="AI2" s="99">
        <f t="shared" ca="1" si="0"/>
        <v>3.4150604923726025E-3</v>
      </c>
      <c r="AJ2" s="99">
        <f t="shared" ca="1" si="0"/>
        <v>3.5370269385287668E-3</v>
      </c>
      <c r="AK2" s="99">
        <f t="shared" ca="1" si="0"/>
        <v>3.6589933846849312E-3</v>
      </c>
      <c r="AL2" s="99">
        <f t="shared" ca="1" si="0"/>
        <v>3.7809598308410955E-3</v>
      </c>
      <c r="AM2" s="99">
        <f t="shared" ca="1" si="0"/>
        <v>3.9029262769972599E-3</v>
      </c>
      <c r="AN2" s="99">
        <f t="shared" ca="1" si="0"/>
        <v>4.0248927231534247E-3</v>
      </c>
      <c r="AO2" s="99">
        <f t="shared" ca="1" si="0"/>
        <v>4.1468591693095891E-3</v>
      </c>
      <c r="AP2" s="99">
        <f t="shared" ca="1" si="0"/>
        <v>4.2688256154657534E-3</v>
      </c>
      <c r="AQ2" s="99">
        <f t="shared" ca="1" si="0"/>
        <v>4.3907920616219178E-3</v>
      </c>
      <c r="AR2" s="99">
        <f t="shared" ca="1" si="0"/>
        <v>4.5127585077780821E-3</v>
      </c>
      <c r="AS2" s="99">
        <f t="shared" ca="1" si="0"/>
        <v>4.6347249539342465E-3</v>
      </c>
      <c r="AT2" s="99">
        <f t="shared" ca="1" si="0"/>
        <v>4.7566914000904108E-3</v>
      </c>
      <c r="AU2" s="99">
        <f t="shared" ca="1" si="0"/>
        <v>4.8786578462465752E-3</v>
      </c>
      <c r="AV2" s="99">
        <f t="shared" ca="1" si="0"/>
        <v>5.0006242924027396E-3</v>
      </c>
      <c r="AW2" s="99">
        <f t="shared" ca="1" si="0"/>
        <v>5.1225907385589039E-3</v>
      </c>
      <c r="AX2" s="99">
        <f t="shared" ca="1" si="0"/>
        <v>5.2445571847150683E-3</v>
      </c>
      <c r="AY2" s="99">
        <f t="shared" ca="1" si="0"/>
        <v>5.3665236308712326E-3</v>
      </c>
      <c r="AZ2" s="99">
        <f t="shared" ca="1" si="0"/>
        <v>5.488490077027397E-3</v>
      </c>
      <c r="BA2" s="99">
        <f t="shared" ca="1" si="0"/>
        <v>5.6104565231835614E-3</v>
      </c>
      <c r="BB2" s="99">
        <f t="shared" ca="1" si="0"/>
        <v>5.7324229693397257E-3</v>
      </c>
      <c r="BC2" s="99">
        <f t="shared" ca="1" si="0"/>
        <v>5.8543894154958901E-3</v>
      </c>
      <c r="BD2" s="99">
        <f t="shared" ca="1" si="0"/>
        <v>5.9763558616520544E-3</v>
      </c>
      <c r="BE2" s="99">
        <f t="shared" ca="1" si="0"/>
        <v>6.0983223078082188E-3</v>
      </c>
      <c r="BF2" s="96"/>
    </row>
    <row r="3" spans="2:58" s="99" customFormat="1" x14ac:dyDescent="0.25">
      <c r="D3" s="99" t="s">
        <v>119</v>
      </c>
      <c r="E3" s="100">
        <f ca="1">E1/(E2*E2)</f>
        <v>3.0491611539041098E-7</v>
      </c>
      <c r="BF3" s="96"/>
    </row>
    <row r="4" spans="2:58" s="99" customFormat="1" x14ac:dyDescent="0.25">
      <c r="E4" s="100"/>
      <c r="BF4" s="96"/>
    </row>
    <row r="5" spans="2:58" s="99" customFormat="1" x14ac:dyDescent="0.25">
      <c r="E5" s="100" t="s">
        <v>118</v>
      </c>
      <c r="F5" s="100" t="s">
        <v>106</v>
      </c>
      <c r="BF5" s="96"/>
    </row>
    <row r="6" spans="2:58" x14ac:dyDescent="0.25">
      <c r="B6" s="99" t="s">
        <v>121</v>
      </c>
      <c r="D6" s="81">
        <v>0</v>
      </c>
      <c r="E6">
        <f>Workings!B12</f>
        <v>26.40319999999997</v>
      </c>
      <c r="F6">
        <f>LN(E6)</f>
        <v>3.2734852149278857</v>
      </c>
      <c r="G6" s="64">
        <f>MAX(EXP($F6)-Workings!$B$7,0)*EXP(-Workings!$B$16*'PDE 2'!$F6)</f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  <c r="AK6" s="103">
        <v>0</v>
      </c>
      <c r="AL6" s="103">
        <v>0</v>
      </c>
      <c r="AM6" s="103">
        <v>0</v>
      </c>
      <c r="AN6" s="103">
        <v>0</v>
      </c>
      <c r="AO6" s="103">
        <v>0</v>
      </c>
      <c r="AP6" s="103">
        <v>0</v>
      </c>
      <c r="AQ6" s="103">
        <v>0</v>
      </c>
      <c r="AR6" s="103">
        <v>0</v>
      </c>
      <c r="AS6" s="103">
        <v>0</v>
      </c>
      <c r="AT6" s="103">
        <v>0</v>
      </c>
      <c r="AU6" s="103">
        <v>0</v>
      </c>
      <c r="AV6" s="103">
        <v>0</v>
      </c>
      <c r="AW6" s="103">
        <v>0</v>
      </c>
      <c r="AX6" s="103">
        <v>0</v>
      </c>
      <c r="AY6" s="103">
        <v>0</v>
      </c>
      <c r="AZ6" s="103">
        <v>0</v>
      </c>
      <c r="BA6" s="103">
        <v>0</v>
      </c>
      <c r="BB6" s="103">
        <v>0</v>
      </c>
      <c r="BC6" s="103">
        <v>0</v>
      </c>
      <c r="BD6" s="103">
        <v>0</v>
      </c>
      <c r="BE6" s="103">
        <v>0</v>
      </c>
      <c r="BF6" s="96">
        <f ca="1">EXP(Workings!$B$16*'PDE 2'!F6+Workings!$B$17*'PDE 2'!$BE$2)*BE6</f>
        <v>0</v>
      </c>
    </row>
    <row r="7" spans="2:58" x14ac:dyDescent="0.25">
      <c r="D7" s="86">
        <v>1</v>
      </c>
      <c r="E7">
        <f>E6+20</f>
        <v>46.40319999999997</v>
      </c>
      <c r="F7" s="99">
        <f t="shared" ref="F7:F56" si="1">LN(E7)</f>
        <v>3.8373684223714384</v>
      </c>
      <c r="G7" s="64">
        <f>MAX(EXP($F7)-Workings!$B$7,0)*EXP(-Workings!$B$16*'PDE 2'!$F7)</f>
        <v>0</v>
      </c>
      <c r="H7" s="99">
        <f ca="1">$E$3*(G6)+(1-2*$E$3)*G7+$E$3*G8</f>
        <v>0</v>
      </c>
      <c r="I7" s="99">
        <f t="shared" ref="I7:BE12" ca="1" si="2">$E$3*(H6)+(1-2*$E$3)*H7+$E$3*H8</f>
        <v>0</v>
      </c>
      <c r="J7" s="99">
        <f t="shared" ca="1" si="2"/>
        <v>0</v>
      </c>
      <c r="K7" s="99">
        <f t="shared" ca="1" si="2"/>
        <v>0</v>
      </c>
      <c r="L7" s="99">
        <f t="shared" ca="1" si="2"/>
        <v>0</v>
      </c>
      <c r="M7" s="99">
        <f t="shared" ca="1" si="2"/>
        <v>0</v>
      </c>
      <c r="N7" s="99">
        <f t="shared" ca="1" si="2"/>
        <v>0</v>
      </c>
      <c r="O7" s="99">
        <f t="shared" ca="1" si="2"/>
        <v>0</v>
      </c>
      <c r="P7" s="99">
        <f t="shared" ca="1" si="2"/>
        <v>0</v>
      </c>
      <c r="Q7" s="99">
        <f t="shared" ca="1" si="2"/>
        <v>0</v>
      </c>
      <c r="R7" s="99">
        <f t="shared" ca="1" si="2"/>
        <v>0</v>
      </c>
      <c r="S7" s="99">
        <f t="shared" ca="1" si="2"/>
        <v>0</v>
      </c>
      <c r="T7" s="99">
        <f t="shared" ca="1" si="2"/>
        <v>0</v>
      </c>
      <c r="U7" s="99">
        <f t="shared" ca="1" si="2"/>
        <v>0</v>
      </c>
      <c r="V7" s="99">
        <f t="shared" ca="1" si="2"/>
        <v>0</v>
      </c>
      <c r="W7" s="99">
        <f t="shared" ca="1" si="2"/>
        <v>0</v>
      </c>
      <c r="X7" s="99">
        <f t="shared" ca="1" si="2"/>
        <v>0</v>
      </c>
      <c r="Y7" s="99">
        <f t="shared" ca="1" si="2"/>
        <v>2.5463604568810894E-118</v>
      </c>
      <c r="Z7" s="99">
        <f t="shared" ca="1" si="2"/>
        <v>4.8380822312983712E-117</v>
      </c>
      <c r="AA7" s="99">
        <f t="shared" ca="1" si="2"/>
        <v>4.8380795945241501E-116</v>
      </c>
      <c r="AB7" s="99">
        <f t="shared" ca="1" si="2"/>
        <v>3.3866538704259865E-115</v>
      </c>
      <c r="AC7" s="99">
        <f t="shared" ca="1" si="2"/>
        <v>1.8626586135773565E-114</v>
      </c>
      <c r="AD7" s="99">
        <f t="shared" ca="1" si="2"/>
        <v>8.5682249527365502E-114</v>
      </c>
      <c r="AE7" s="99">
        <f t="shared" ca="1" si="2"/>
        <v>3.4272881132079514E-113</v>
      </c>
      <c r="AF7" s="99">
        <f t="shared" ca="1" si="2"/>
        <v>1.2240308019008321E-112</v>
      </c>
      <c r="AG7" s="99">
        <f t="shared" ca="1" si="2"/>
        <v>3.9780979380973956E-112</v>
      </c>
      <c r="AH7" s="99">
        <f t="shared" ca="1" si="2"/>
        <v>1.1934287310054905E-111</v>
      </c>
      <c r="AI7" s="99">
        <f t="shared" ca="1" si="2"/>
        <v>3.3415986256299557E-111</v>
      </c>
      <c r="AJ7" s="99">
        <f t="shared" ca="1" si="2"/>
        <v>8.8096643026292006E-111</v>
      </c>
      <c r="AK7" s="99">
        <f t="shared" ca="1" si="2"/>
        <v>2.2024148753318933E-110</v>
      </c>
      <c r="AL7" s="99">
        <f t="shared" ca="1" si="2"/>
        <v>5.25190953270938E-110</v>
      </c>
      <c r="AM7" s="99">
        <f t="shared" ca="1" si="2"/>
        <v>1.2004358103767215E-109</v>
      </c>
      <c r="AN7" s="99">
        <f t="shared" ca="1" si="2"/>
        <v>2.6409573434959505E-109</v>
      </c>
      <c r="AO7" s="99">
        <f t="shared" ca="1" si="2"/>
        <v>5.6120312963483328E-109</v>
      </c>
      <c r="AP7" s="99">
        <f t="shared" ca="1" si="2"/>
        <v>1.1554175783643056E-108</v>
      </c>
      <c r="AQ7" s="99">
        <f t="shared" ca="1" si="2"/>
        <v>2.3108338973144975E-108</v>
      </c>
      <c r="AR7" s="99">
        <f t="shared" ca="1" si="2"/>
        <v>4.5000425053863332E-108</v>
      </c>
      <c r="AS7" s="99">
        <f t="shared" ca="1" si="2"/>
        <v>8.5500761004070359E-108</v>
      </c>
      <c r="AT7" s="99">
        <f t="shared" ca="1" si="2"/>
        <v>1.5878704103939209E-107</v>
      </c>
      <c r="AU7" s="99">
        <f t="shared" ca="1" si="2"/>
        <v>2.8870355363608163E-107</v>
      </c>
      <c r="AV7" s="99">
        <f t="shared" ca="1" si="2"/>
        <v>5.1464518469361221E-107</v>
      </c>
      <c r="AW7" s="99">
        <f t="shared" ca="1" si="2"/>
        <v>9.0062858236753304E-107</v>
      </c>
      <c r="AX7" s="99">
        <f t="shared" ca="1" si="2"/>
        <v>1.5490803174170139E-106</v>
      </c>
      <c r="AY7" s="99">
        <f t="shared" ca="1" si="2"/>
        <v>2.6215191084285826E-106</v>
      </c>
      <c r="AZ7" s="99">
        <f t="shared" ca="1" si="2"/>
        <v>4.3691961328178536E-106</v>
      </c>
      <c r="BA7" s="99">
        <f t="shared" ca="1" si="2"/>
        <v>7.1779611633254489E-106</v>
      </c>
      <c r="BB7" s="99">
        <f t="shared" ca="1" si="2"/>
        <v>1.1633241062467078E-105</v>
      </c>
      <c r="BC7" s="99">
        <f t="shared" ca="1" si="2"/>
        <v>1.8613175555690902E-105</v>
      </c>
      <c r="BD7" s="99">
        <f t="shared" ca="1" si="2"/>
        <v>2.942080984388929E-105</v>
      </c>
      <c r="BE7" s="99">
        <f t="shared" ca="1" si="2"/>
        <v>4.5969990327245988E-105</v>
      </c>
      <c r="BF7" s="96">
        <f ca="1">EXP(Workings!$B$16*'PDE 2'!F7+Workings!$B$17*'PDE 2'!$BE$2)*BE7</f>
        <v>2.3675996460786787E-104</v>
      </c>
    </row>
    <row r="8" spans="2:58" x14ac:dyDescent="0.25">
      <c r="D8" s="86">
        <v>2</v>
      </c>
      <c r="E8" s="99">
        <f t="shared" ref="E8:E30" si="3">E7+20</f>
        <v>66.40319999999997</v>
      </c>
      <c r="F8" s="99">
        <f t="shared" si="1"/>
        <v>4.1957452480922379</v>
      </c>
      <c r="G8" s="64">
        <f>MAX(EXP($F8)-Workings!$B$7,0)*EXP(-Workings!$B$16*'PDE 2'!$F8)</f>
        <v>0</v>
      </c>
      <c r="H8" s="99">
        <f t="shared" ref="H8:W55" ca="1" si="4">$E$3*(G7)+(1-2*$E$3)*G8+$E$3*G9</f>
        <v>0</v>
      </c>
      <c r="I8" s="99">
        <f t="shared" ca="1" si="4"/>
        <v>0</v>
      </c>
      <c r="J8" s="99">
        <f t="shared" ca="1" si="4"/>
        <v>0</v>
      </c>
      <c r="K8" s="99">
        <f t="shared" ca="1" si="4"/>
        <v>0</v>
      </c>
      <c r="L8" s="99">
        <f t="shared" ca="1" si="4"/>
        <v>0</v>
      </c>
      <c r="M8" s="99">
        <f t="shared" ca="1" si="4"/>
        <v>0</v>
      </c>
      <c r="N8" s="99">
        <f t="shared" ca="1" si="4"/>
        <v>0</v>
      </c>
      <c r="O8" s="99">
        <f t="shared" ca="1" si="4"/>
        <v>0</v>
      </c>
      <c r="P8" s="99">
        <f t="shared" ca="1" si="4"/>
        <v>0</v>
      </c>
      <c r="Q8" s="99">
        <f t="shared" ca="1" si="4"/>
        <v>0</v>
      </c>
      <c r="R8" s="99">
        <f t="shared" ca="1" si="4"/>
        <v>0</v>
      </c>
      <c r="S8" s="99">
        <f t="shared" ca="1" si="4"/>
        <v>0</v>
      </c>
      <c r="T8" s="99">
        <f t="shared" ca="1" si="4"/>
        <v>0</v>
      </c>
      <c r="U8" s="99">
        <f t="shared" ca="1" si="4"/>
        <v>0</v>
      </c>
      <c r="V8" s="99">
        <f t="shared" ca="1" si="4"/>
        <v>0</v>
      </c>
      <c r="W8" s="99">
        <f t="shared" ca="1" si="4"/>
        <v>0</v>
      </c>
      <c r="X8" s="99">
        <f t="shared" ca="1" si="2"/>
        <v>8.3510196029513215E-112</v>
      </c>
      <c r="Y8" s="99">
        <f t="shared" ca="1" si="2"/>
        <v>1.5031827147039897E-110</v>
      </c>
      <c r="Z8" s="99">
        <f t="shared" ca="1" si="2"/>
        <v>1.4280228058333365E-109</v>
      </c>
      <c r="AA8" s="99">
        <f t="shared" ca="1" si="2"/>
        <v>9.5201468846554359E-109</v>
      </c>
      <c r="AB8" s="99">
        <f t="shared" ca="1" si="2"/>
        <v>4.998074408473042E-108</v>
      </c>
      <c r="AC8" s="99">
        <f t="shared" ca="1" si="2"/>
        <v>2.1991515491015362E-107</v>
      </c>
      <c r="AD8" s="99">
        <f t="shared" ca="1" si="2"/>
        <v>8.4300763741564647E-107</v>
      </c>
      <c r="AE8" s="99">
        <f t="shared" ca="1" si="2"/>
        <v>2.890310334889003E-106</v>
      </c>
      <c r="AF8" s="99">
        <f t="shared" ca="1" si="2"/>
        <v>9.0322149064627889E-106</v>
      </c>
      <c r="AG8" s="99">
        <f t="shared" ca="1" si="2"/>
        <v>2.6093051158489395E-105</v>
      </c>
      <c r="AH8" s="99">
        <f t="shared" ca="1" si="2"/>
        <v>7.0451199985454291E-105</v>
      </c>
      <c r="AI8" s="99">
        <f t="shared" ca="1" si="2"/>
        <v>1.7933023014583995E-104</v>
      </c>
      <c r="AJ8" s="99">
        <f t="shared" ca="1" si="2"/>
        <v>4.3338115488541142E-104</v>
      </c>
      <c r="AK8" s="99">
        <f t="shared" ca="1" si="2"/>
        <v>1.0001098159657861E-103</v>
      </c>
      <c r="AL8" s="99">
        <f t="shared" ca="1" si="2"/>
        <v>2.214527679258862E-103</v>
      </c>
      <c r="AM8" s="99">
        <f t="shared" ca="1" si="2"/>
        <v>4.7243231579913374E-103</v>
      </c>
      <c r="AN8" s="99">
        <f t="shared" ca="1" si="2"/>
        <v>9.743911237978224E-103</v>
      </c>
      <c r="AO8" s="99">
        <f t="shared" ca="1" si="2"/>
        <v>1.9487811925204521E-102</v>
      </c>
      <c r="AP8" s="99">
        <f t="shared" ca="1" si="2"/>
        <v>3.7892947117002622E-102</v>
      </c>
      <c r="AQ8" s="99">
        <f t="shared" ca="1" si="2"/>
        <v>7.1797124087383424E-102</v>
      </c>
      <c r="AR8" s="99">
        <f t="shared" ca="1" si="2"/>
        <v>1.3282460765007595E-101</v>
      </c>
      <c r="AS8" s="99">
        <f t="shared" ca="1" si="2"/>
        <v>2.4034915990782121E-101</v>
      </c>
      <c r="AT8" s="99">
        <f t="shared" ca="1" si="2"/>
        <v>4.2607328006852411E-101</v>
      </c>
      <c r="AU8" s="99">
        <f t="shared" ca="1" si="2"/>
        <v>7.4099660763738113E-101</v>
      </c>
      <c r="AV8" s="99">
        <f t="shared" ca="1" si="2"/>
        <v>1.2658685193694431E-100</v>
      </c>
      <c r="AW8" s="99">
        <f t="shared" ca="1" si="2"/>
        <v>2.1266579611626882E-100</v>
      </c>
      <c r="AX8" s="99">
        <f t="shared" ca="1" si="2"/>
        <v>3.5171631854142418E-100</v>
      </c>
      <c r="AY8" s="99">
        <f t="shared" ca="1" si="2"/>
        <v>5.731670236052987E-100</v>
      </c>
      <c r="AZ8" s="99">
        <f t="shared" ca="1" si="2"/>
        <v>9.2116078921834189E-100</v>
      </c>
      <c r="BA8" s="99">
        <f t="shared" ca="1" si="2"/>
        <v>1.4611508056204921E-99</v>
      </c>
      <c r="BB8" s="99">
        <f t="shared" ca="1" si="2"/>
        <v>2.2891350227954126E-99</v>
      </c>
      <c r="BC8" s="99">
        <f t="shared" ca="1" si="2"/>
        <v>3.5444652130881241E-99</v>
      </c>
      <c r="BD8" s="99">
        <f t="shared" ca="1" si="2"/>
        <v>5.4274594191013501E-99</v>
      </c>
      <c r="BE8" s="99">
        <f t="shared" ca="1" si="2"/>
        <v>8.2234189100956853E-99</v>
      </c>
      <c r="BF8" s="96">
        <f ca="1">EXP(Workings!$B$16*'PDE 2'!F8+Workings!$B$17*'PDE 2'!$BE$2)*BE8</f>
        <v>4.9368096571917012E-98</v>
      </c>
    </row>
    <row r="9" spans="2:58" x14ac:dyDescent="0.25">
      <c r="D9" s="86">
        <v>3</v>
      </c>
      <c r="E9" s="99">
        <f t="shared" si="3"/>
        <v>86.40319999999997</v>
      </c>
      <c r="F9" s="99">
        <f t="shared" si="1"/>
        <v>4.4590247121611926</v>
      </c>
      <c r="G9" s="64">
        <f>MAX(EXP($F9)-Workings!$B$7,0)*EXP(-Workings!$B$16*'PDE 2'!$F9)</f>
        <v>0</v>
      </c>
      <c r="H9" s="99">
        <f t="shared" ca="1" si="4"/>
        <v>0</v>
      </c>
      <c r="I9" s="99">
        <f t="shared" ca="1" si="2"/>
        <v>0</v>
      </c>
      <c r="J9" s="99">
        <f t="shared" ca="1" si="2"/>
        <v>0</v>
      </c>
      <c r="K9" s="99">
        <f t="shared" ca="1" si="2"/>
        <v>0</v>
      </c>
      <c r="L9" s="99">
        <f t="shared" ca="1" si="2"/>
        <v>0</v>
      </c>
      <c r="M9" s="99">
        <f t="shared" ca="1" si="2"/>
        <v>0</v>
      </c>
      <c r="N9" s="99">
        <f t="shared" ca="1" si="2"/>
        <v>0</v>
      </c>
      <c r="O9" s="99">
        <f t="shared" ca="1" si="2"/>
        <v>0</v>
      </c>
      <c r="P9" s="99">
        <f t="shared" ca="1" si="2"/>
        <v>0</v>
      </c>
      <c r="Q9" s="99">
        <f t="shared" ca="1" si="2"/>
        <v>0</v>
      </c>
      <c r="R9" s="99">
        <f t="shared" ca="1" si="2"/>
        <v>0</v>
      </c>
      <c r="S9" s="99">
        <f t="shared" ca="1" si="2"/>
        <v>0</v>
      </c>
      <c r="T9" s="99">
        <f t="shared" ca="1" si="2"/>
        <v>0</v>
      </c>
      <c r="U9" s="99">
        <f t="shared" ca="1" si="2"/>
        <v>0</v>
      </c>
      <c r="V9" s="99">
        <f t="shared" ca="1" si="2"/>
        <v>0</v>
      </c>
      <c r="W9" s="99">
        <f t="shared" ca="1" si="2"/>
        <v>2.7387924683019048E-105</v>
      </c>
      <c r="X9" s="99">
        <f t="shared" ca="1" si="2"/>
        <v>4.6559446941135069E-104</v>
      </c>
      <c r="Y9" s="99">
        <f t="shared" ca="1" si="2"/>
        <v>4.1903479729036483E-103</v>
      </c>
      <c r="Z9" s="99">
        <f t="shared" ca="1" si="2"/>
        <v>2.6538856233673832E-102</v>
      </c>
      <c r="AA9" s="99">
        <f t="shared" ca="1" si="2"/>
        <v>1.3269420986149575E-101</v>
      </c>
      <c r="AB9" s="99">
        <f t="shared" ca="1" si="2"/>
        <v>5.573153819295802E-101</v>
      </c>
      <c r="AC9" s="99">
        <f t="shared" ca="1" si="2"/>
        <v>2.0434886356171641E-100</v>
      </c>
      <c r="AD9" s="99">
        <f t="shared" ca="1" si="2"/>
        <v>6.714316194620332E-100</v>
      </c>
      <c r="AE9" s="99">
        <f t="shared" ca="1" si="2"/>
        <v>2.0142937759501678E-99</v>
      </c>
      <c r="AF9" s="99">
        <f t="shared" ca="1" si="2"/>
        <v>5.5952574819856597E-99</v>
      </c>
      <c r="AG9" s="99">
        <f t="shared" ca="1" si="2"/>
        <v>1.4547661635578565E-98</v>
      </c>
      <c r="AH9" s="99">
        <f t="shared" ca="1" si="2"/>
        <v>3.5707877553269686E-98</v>
      </c>
      <c r="AI9" s="99">
        <f t="shared" ca="1" si="2"/>
        <v>8.3318336184242544E-98</v>
      </c>
      <c r="AJ9" s="99">
        <f t="shared" ca="1" si="2"/>
        <v>1.8586388083965694E-97</v>
      </c>
      <c r="AK9" s="99">
        <f t="shared" ca="1" si="2"/>
        <v>3.9827953063001674E-97</v>
      </c>
      <c r="AL9" s="99">
        <f t="shared" ca="1" si="2"/>
        <v>8.2311058764773917E-97</v>
      </c>
      <c r="AM9" s="99">
        <f t="shared" ca="1" si="2"/>
        <v>1.6462202906540461E-96</v>
      </c>
      <c r="AN9" s="99">
        <f t="shared" ca="1" si="2"/>
        <v>3.1956023763783809E-96</v>
      </c>
      <c r="AO9" s="99">
        <f t="shared" ca="1" si="2"/>
        <v>6.036134578366406E-96</v>
      </c>
      <c r="AP9" s="99">
        <f t="shared" ca="1" si="2"/>
        <v>1.1119189300738404E-95</v>
      </c>
      <c r="AQ9" s="99">
        <f t="shared" ca="1" si="2"/>
        <v>2.0014529985975624E-95</v>
      </c>
      <c r="AR9" s="99">
        <f t="shared" ca="1" si="2"/>
        <v>3.5263676739678075E-95</v>
      </c>
      <c r="AS9" s="99">
        <f t="shared" ca="1" si="2"/>
        <v>6.0909954364183758E-95</v>
      </c>
      <c r="AT9" s="99">
        <f t="shared" ca="1" si="2"/>
        <v>1.032820410291542E-94</v>
      </c>
      <c r="AU9" s="99">
        <f t="shared" ca="1" si="2"/>
        <v>1.7213664254627796E-94</v>
      </c>
      <c r="AV9" s="99">
        <f t="shared" ca="1" si="2"/>
        <v>2.8230394207218789E-94</v>
      </c>
      <c r="AW9" s="99">
        <f t="shared" ca="1" si="2"/>
        <v>4.560291998261422E-94</v>
      </c>
      <c r="AX9" s="99">
        <f t="shared" ca="1" si="2"/>
        <v>7.2626833536899563E-94</v>
      </c>
      <c r="AY9" s="99">
        <f t="shared" ca="1" si="2"/>
        <v>1.1412781994258337E-93</v>
      </c>
      <c r="AZ9" s="99">
        <f t="shared" ca="1" si="2"/>
        <v>1.7709479784765016E-93</v>
      </c>
      <c r="BA9" s="99">
        <f t="shared" ca="1" si="2"/>
        <v>2.7154521077753288E-93</v>
      </c>
      <c r="BB9" s="99">
        <f t="shared" ca="1" si="2"/>
        <v>4.1169735639369612E-93</v>
      </c>
      <c r="BC9" s="99">
        <f t="shared" ca="1" si="2"/>
        <v>6.1754570273559333E-93</v>
      </c>
      <c r="BD9" s="99">
        <f t="shared" ca="1" si="2"/>
        <v>9.169613082775914E-93</v>
      </c>
      <c r="BE9" s="99">
        <f t="shared" ca="1" si="2"/>
        <v>1.3484717875350267E-92</v>
      </c>
      <c r="BF9" s="96">
        <f ca="1">EXP(Workings!$B$16*'PDE 2'!F9+Workings!$B$17*'PDE 2'!$BE$2)*BE9</f>
        <v>9.0601176444241353E-92</v>
      </c>
    </row>
    <row r="10" spans="2:58" x14ac:dyDescent="0.25">
      <c r="D10" s="86">
        <v>4</v>
      </c>
      <c r="E10" s="99">
        <f t="shared" si="3"/>
        <v>106.40319999999997</v>
      </c>
      <c r="F10" s="99">
        <f t="shared" si="1"/>
        <v>4.6672356516432645</v>
      </c>
      <c r="G10" s="64">
        <f>MAX(EXP($F10)-Workings!$B$7,0)*EXP(-Workings!$B$16*'PDE 2'!$F10)</f>
        <v>0</v>
      </c>
      <c r="H10" s="99">
        <f t="shared" ca="1" si="4"/>
        <v>0</v>
      </c>
      <c r="I10" s="99">
        <f t="shared" ca="1" si="2"/>
        <v>0</v>
      </c>
      <c r="J10" s="99">
        <f t="shared" ca="1" si="2"/>
        <v>0</v>
      </c>
      <c r="K10" s="99">
        <f t="shared" ca="1" si="2"/>
        <v>0</v>
      </c>
      <c r="L10" s="99">
        <f t="shared" ca="1" si="2"/>
        <v>0</v>
      </c>
      <c r="M10" s="99">
        <f t="shared" ca="1" si="2"/>
        <v>0</v>
      </c>
      <c r="N10" s="99">
        <f t="shared" ca="1" si="2"/>
        <v>0</v>
      </c>
      <c r="O10" s="99">
        <f t="shared" ca="1" si="2"/>
        <v>0</v>
      </c>
      <c r="P10" s="99">
        <f t="shared" ca="1" si="2"/>
        <v>0</v>
      </c>
      <c r="Q10" s="99">
        <f t="shared" ca="1" si="2"/>
        <v>0</v>
      </c>
      <c r="R10" s="99">
        <f t="shared" ca="1" si="2"/>
        <v>0</v>
      </c>
      <c r="S10" s="99">
        <f t="shared" ca="1" si="2"/>
        <v>0</v>
      </c>
      <c r="T10" s="99">
        <f t="shared" ca="1" si="2"/>
        <v>0</v>
      </c>
      <c r="U10" s="99">
        <f t="shared" ca="1" si="2"/>
        <v>0</v>
      </c>
      <c r="V10" s="99">
        <f t="shared" ca="1" si="2"/>
        <v>8.9821178024493308E-99</v>
      </c>
      <c r="W10" s="99">
        <f t="shared" ca="1" si="2"/>
        <v>1.4371380826142836E-97</v>
      </c>
      <c r="X10" s="99">
        <f t="shared" ca="1" si="2"/>
        <v>1.2215667193115321E-96</v>
      </c>
      <c r="Y10" s="99">
        <f t="shared" ca="1" si="2"/>
        <v>7.3293964104077026E-96</v>
      </c>
      <c r="Z10" s="99">
        <f t="shared" ca="1" si="2"/>
        <v>3.4814614398504754E-95</v>
      </c>
      <c r="AA10" s="99">
        <f t="shared" ca="1" si="2"/>
        <v>1.3925838339033264E-94</v>
      </c>
      <c r="AB10" s="99">
        <f t="shared" ca="1" si="2"/>
        <v>4.8740408215340548E-94</v>
      </c>
      <c r="AC10" s="99">
        <f t="shared" ca="1" si="2"/>
        <v>1.531840584813912E-93</v>
      </c>
      <c r="AD10" s="99">
        <f t="shared" ca="1" si="2"/>
        <v>4.4040393346523057E-93</v>
      </c>
      <c r="AE10" s="99">
        <f t="shared" ca="1" si="2"/>
        <v>1.174409863457576E-92</v>
      </c>
      <c r="AF10" s="99">
        <f t="shared" ca="1" si="2"/>
        <v>2.9360230941872078E-92</v>
      </c>
      <c r="AG10" s="99">
        <f t="shared" ca="1" si="2"/>
        <v>6.9396872520922586E-92</v>
      </c>
      <c r="AH10" s="99">
        <f t="shared" ca="1" si="2"/>
        <v>1.5614287997151423E-91</v>
      </c>
      <c r="AI10" s="99">
        <f t="shared" ca="1" si="2"/>
        <v>3.3630756227599704E-91</v>
      </c>
      <c r="AJ10" s="99">
        <f t="shared" ca="1" si="2"/>
        <v>6.9663672208389859E-91</v>
      </c>
      <c r="AK10" s="99">
        <f t="shared" ca="1" si="2"/>
        <v>1.3932727017640167E-90</v>
      </c>
      <c r="AL10" s="99">
        <f t="shared" ca="1" si="2"/>
        <v>2.6994644212612525E-90</v>
      </c>
      <c r="AM10" s="99">
        <f t="shared" ca="1" si="2"/>
        <v>5.0813420853750914E-90</v>
      </c>
      <c r="AN10" s="99">
        <f t="shared" ca="1" si="2"/>
        <v>9.3157888592804225E-90</v>
      </c>
      <c r="AO10" s="99">
        <f t="shared" ca="1" si="2"/>
        <v>1.667035012856743E-89</v>
      </c>
      <c r="AP10" s="99">
        <f t="shared" ca="1" si="2"/>
        <v>2.917309718014275E-89</v>
      </c>
      <c r="AQ10" s="99">
        <f t="shared" ca="1" si="2"/>
        <v>5.0010997089087578E-89</v>
      </c>
      <c r="AR10" s="99">
        <f t="shared" ca="1" si="2"/>
        <v>8.4109359377712977E-89</v>
      </c>
      <c r="AS10" s="99">
        <f t="shared" ca="1" si="2"/>
        <v>1.38963215360276E-88</v>
      </c>
      <c r="AT10" s="99">
        <f t="shared" ca="1" si="2"/>
        <v>2.2581510463514711E-88</v>
      </c>
      <c r="AU10" s="99">
        <f t="shared" ca="1" si="2"/>
        <v>3.6130397489585948E-88</v>
      </c>
      <c r="AV10" s="99">
        <f t="shared" ca="1" si="2"/>
        <v>5.6974827220766107E-88</v>
      </c>
      <c r="AW10" s="99">
        <f t="shared" ca="1" si="2"/>
        <v>8.8627461785049137E-88</v>
      </c>
      <c r="AX10" s="99">
        <f t="shared" ca="1" si="2"/>
        <v>1.3610638664578149E-87</v>
      </c>
      <c r="AY10" s="99">
        <f t="shared" ca="1" si="2"/>
        <v>2.0650613177086451E-87</v>
      </c>
      <c r="AZ10" s="99">
        <f t="shared" ca="1" si="2"/>
        <v>3.0975903260159578E-87</v>
      </c>
      <c r="BA10" s="99">
        <f t="shared" ca="1" si="2"/>
        <v>4.5964219055359215E-87</v>
      </c>
      <c r="BB10" s="99">
        <f t="shared" ca="1" si="2"/>
        <v>6.7509910764991386E-87</v>
      </c>
      <c r="BC10" s="99">
        <f t="shared" ca="1" si="2"/>
        <v>9.8196181516281906E-87</v>
      </c>
      <c r="BD10" s="99">
        <f t="shared" ca="1" si="2"/>
        <v>1.4151795089522518E-86</v>
      </c>
      <c r="BE10" s="99">
        <f t="shared" ca="1" si="2"/>
        <v>2.0216839355373599E-86</v>
      </c>
      <c r="BF10" s="96">
        <f ca="1">EXP(Workings!$B$16*'PDE 2'!F10+Workings!$B$17*'PDE 2'!$BE$2)*BE10</f>
        <v>1.4848259377716869E-85</v>
      </c>
    </row>
    <row r="11" spans="2:58" x14ac:dyDescent="0.25">
      <c r="D11" s="86">
        <v>5</v>
      </c>
      <c r="E11" s="99">
        <f t="shared" si="3"/>
        <v>126.40319999999997</v>
      </c>
      <c r="F11" s="99">
        <f t="shared" si="1"/>
        <v>4.8394767978479969</v>
      </c>
      <c r="G11" s="64">
        <f>MAX(EXP($F11)-Workings!$B$7,0)*EXP(-Workings!$B$16*'PDE 2'!$F11)</f>
        <v>0</v>
      </c>
      <c r="H11" s="99">
        <f t="shared" ca="1" si="4"/>
        <v>0</v>
      </c>
      <c r="I11" s="99">
        <f t="shared" ca="1" si="2"/>
        <v>0</v>
      </c>
      <c r="J11" s="99">
        <f t="shared" ca="1" si="2"/>
        <v>0</v>
      </c>
      <c r="K11" s="99">
        <f t="shared" ca="1" si="2"/>
        <v>0</v>
      </c>
      <c r="L11" s="99">
        <f t="shared" ca="1" si="2"/>
        <v>0</v>
      </c>
      <c r="M11" s="99">
        <f t="shared" ca="1" si="2"/>
        <v>0</v>
      </c>
      <c r="N11" s="99">
        <f t="shared" ca="1" si="2"/>
        <v>0</v>
      </c>
      <c r="O11" s="99">
        <f t="shared" ca="1" si="2"/>
        <v>0</v>
      </c>
      <c r="P11" s="99">
        <f t="shared" ca="1" si="2"/>
        <v>0</v>
      </c>
      <c r="Q11" s="99">
        <f t="shared" ca="1" si="2"/>
        <v>0</v>
      </c>
      <c r="R11" s="99">
        <f t="shared" ca="1" si="2"/>
        <v>0</v>
      </c>
      <c r="S11" s="99">
        <f t="shared" ca="1" si="2"/>
        <v>0</v>
      </c>
      <c r="T11" s="99">
        <f t="shared" ca="1" si="2"/>
        <v>0</v>
      </c>
      <c r="U11" s="99">
        <f t="shared" ca="1" si="2"/>
        <v>2.9457668352322846E-92</v>
      </c>
      <c r="V11" s="99">
        <f t="shared" ca="1" si="2"/>
        <v>4.418647921053798E-91</v>
      </c>
      <c r="W11" s="99">
        <f t="shared" ca="1" si="2"/>
        <v>3.5349164714083579E-90</v>
      </c>
      <c r="X11" s="99">
        <f t="shared" ca="1" si="2"/>
        <v>2.0031182767189984E-89</v>
      </c>
      <c r="Y11" s="99">
        <f t="shared" ca="1" si="2"/>
        <v>9.0140274883822826E-89</v>
      </c>
      <c r="Z11" s="99">
        <f t="shared" ca="1" si="2"/>
        <v>3.4253286379820385E-88</v>
      </c>
      <c r="AA11" s="99">
        <f t="shared" ca="1" si="2"/>
        <v>1.1417756101266005E-87</v>
      </c>
      <c r="AB11" s="99">
        <f t="shared" ca="1" si="2"/>
        <v>3.4253250227785559E-87</v>
      </c>
      <c r="AC11" s="99">
        <f t="shared" ca="1" si="2"/>
        <v>9.419638841740331E-87</v>
      </c>
      <c r="AD11" s="99">
        <f t="shared" ca="1" si="2"/>
        <v>2.4072397669930479E-86</v>
      </c>
      <c r="AE11" s="99">
        <f t="shared" ca="1" si="2"/>
        <v>5.7773723919675667E-86</v>
      </c>
      <c r="AF11" s="99">
        <f t="shared" ca="1" si="2"/>
        <v>1.3130384870803389E-85</v>
      </c>
      <c r="AG11" s="99">
        <f t="shared" ca="1" si="2"/>
        <v>2.8449152206982627E-85</v>
      </c>
      <c r="AH11" s="99">
        <f t="shared" ca="1" si="2"/>
        <v>5.9086669556560464E-85</v>
      </c>
      <c r="AI11" s="99">
        <f t="shared" ca="1" si="2"/>
        <v>1.1817327675111748E-84</v>
      </c>
      <c r="AJ11" s="99">
        <f t="shared" ca="1" si="2"/>
        <v>2.2846821448568658E-84</v>
      </c>
      <c r="AK11" s="99">
        <f t="shared" ca="1" si="2"/>
        <v>4.2837767609864783E-84</v>
      </c>
      <c r="AL11" s="99">
        <f t="shared" ca="1" si="2"/>
        <v>7.8115887947879298E-84</v>
      </c>
      <c r="AM11" s="99">
        <f t="shared" ca="1" si="2"/>
        <v>1.3887261639973564E-83</v>
      </c>
      <c r="AN11" s="99">
        <f t="shared" ca="1" si="2"/>
        <v>2.4119968014605053E-83</v>
      </c>
      <c r="AO11" s="99">
        <f t="shared" ca="1" si="2"/>
        <v>4.1003923986378699E-83</v>
      </c>
      <c r="AP11" s="99">
        <f t="shared" ca="1" si="2"/>
        <v>6.8339837246567793E-83</v>
      </c>
      <c r="AQ11" s="99">
        <f t="shared" ca="1" si="2"/>
        <v>1.1182876557140325E-82</v>
      </c>
      <c r="AR11" s="99">
        <f t="shared" ca="1" si="2"/>
        <v>1.798983540273568E-82</v>
      </c>
      <c r="AS11" s="99">
        <f t="shared" ca="1" si="2"/>
        <v>2.8483891022911633E-82</v>
      </c>
      <c r="AT11" s="99">
        <f t="shared" ca="1" si="2"/>
        <v>4.4434846546740036E-82</v>
      </c>
      <c r="AU11" s="99">
        <f t="shared" ca="1" si="2"/>
        <v>6.836126630423199E-82</v>
      </c>
      <c r="AV11" s="99">
        <f t="shared" ca="1" si="2"/>
        <v>1.0380779405126786E-81</v>
      </c>
      <c r="AW11" s="99">
        <f t="shared" ca="1" si="2"/>
        <v>1.5571160890532026E-81</v>
      </c>
      <c r="AX11" s="99">
        <f t="shared" ca="1" si="2"/>
        <v>2.3088260860526561E-81</v>
      </c>
      <c r="AY11" s="99">
        <f t="shared" ca="1" si="2"/>
        <v>3.3862764725500831E-81</v>
      </c>
      <c r="AZ11" s="99">
        <f t="shared" ca="1" si="2"/>
        <v>4.9155600274218159E-81</v>
      </c>
      <c r="BA11" s="99">
        <f t="shared" ca="1" si="2"/>
        <v>7.0661138105144934E-81</v>
      </c>
      <c r="BB11" s="99">
        <f t="shared" ca="1" si="2"/>
        <v>1.0063853752599155E-80</v>
      </c>
      <c r="BC11" s="99">
        <f t="shared" ca="1" si="2"/>
        <v>1.4207786035399322E-80</v>
      </c>
      <c r="BD11" s="99">
        <f t="shared" ca="1" si="2"/>
        <v>1.9890889952810235E-80</v>
      </c>
      <c r="BE11" s="99">
        <f t="shared" ca="1" si="2"/>
        <v>2.7626221466759971E-80</v>
      </c>
      <c r="BF11" s="96">
        <f ca="1">EXP(Workings!$B$16*'PDE 2'!F11+Workings!$B$17*'PDE 2'!$BE$2)*BE11</f>
        <v>2.1841051320249777E-79</v>
      </c>
    </row>
    <row r="12" spans="2:58" x14ac:dyDescent="0.25">
      <c r="D12" s="86">
        <v>6</v>
      </c>
      <c r="E12" s="99">
        <f t="shared" si="3"/>
        <v>146.40319999999997</v>
      </c>
      <c r="F12" s="99">
        <f t="shared" si="1"/>
        <v>4.9863644592118277</v>
      </c>
      <c r="G12" s="64">
        <f>MAX(EXP($F12)-Workings!$B$7,0)*EXP(-Workings!$B$16*'PDE 2'!$F12)</f>
        <v>0</v>
      </c>
      <c r="H12" s="99">
        <f t="shared" ca="1" si="4"/>
        <v>0</v>
      </c>
      <c r="I12" s="99">
        <f t="shared" ca="1" si="2"/>
        <v>0</v>
      </c>
      <c r="J12" s="99">
        <f t="shared" ca="1" si="2"/>
        <v>0</v>
      </c>
      <c r="K12" s="99">
        <f t="shared" ca="1" si="2"/>
        <v>0</v>
      </c>
      <c r="L12" s="99">
        <f t="shared" ca="1" si="2"/>
        <v>0</v>
      </c>
      <c r="M12" s="99">
        <f t="shared" ca="1" si="2"/>
        <v>0</v>
      </c>
      <c r="N12" s="99">
        <f t="shared" ca="1" si="2"/>
        <v>0</v>
      </c>
      <c r="O12" s="99">
        <f t="shared" ca="1" si="2"/>
        <v>0</v>
      </c>
      <c r="P12" s="99">
        <f t="shared" ca="1" si="2"/>
        <v>0</v>
      </c>
      <c r="Q12" s="99">
        <f t="shared" ca="1" si="2"/>
        <v>0</v>
      </c>
      <c r="R12" s="99">
        <f t="shared" ca="1" si="2"/>
        <v>0</v>
      </c>
      <c r="S12" s="99">
        <f t="shared" ca="1" si="2"/>
        <v>0</v>
      </c>
      <c r="T12" s="99">
        <f t="shared" ca="1" si="2"/>
        <v>9.6609089731467938E-86</v>
      </c>
      <c r="U12" s="99">
        <f t="shared" ca="1" si="2"/>
        <v>1.3525265504227329E-84</v>
      </c>
      <c r="V12" s="99">
        <f t="shared" ca="1" si="2"/>
        <v>1.014394383453974E-83</v>
      </c>
      <c r="W12" s="99">
        <f t="shared" ca="1" si="2"/>
        <v>5.4101005551529978E-83</v>
      </c>
      <c r="X12" s="99">
        <f t="shared" ca="1" si="2"/>
        <v>2.2992915360516932E-82</v>
      </c>
      <c r="Y12" s="99">
        <f t="shared" ca="1" si="2"/>
        <v>8.2774452101904529E-82</v>
      </c>
      <c r="Z12" s="99">
        <f t="shared" ca="1" si="2"/>
        <v>2.6211896153557683E-81</v>
      </c>
      <c r="AA12" s="99">
        <f t="shared" ca="1" si="2"/>
        <v>7.48910927852944E-81</v>
      </c>
      <c r="AB12" s="99">
        <f t="shared" ca="1" si="2"/>
        <v>1.9658901597116883E-80</v>
      </c>
      <c r="AC12" s="99">
        <f t="shared" ca="1" si="2"/>
        <v>4.8055067715354519E-80</v>
      </c>
      <c r="AD12" s="99">
        <f t="shared" ca="1" si="2"/>
        <v>1.1052659806687167E-79</v>
      </c>
      <c r="AE12" s="99">
        <f t="shared" ca="1" si="2"/>
        <v>2.4114881539300221E-79</v>
      </c>
      <c r="AF12" s="99">
        <f t="shared" ca="1" si="2"/>
        <v>5.0239310322762912E-79</v>
      </c>
      <c r="AG12" s="99">
        <f t="shared" ca="1" si="2"/>
        <v>1.0047856821066261E-78</v>
      </c>
      <c r="AH12" s="99">
        <f t="shared" ref="I12:BE17" ca="1" si="5">$E$3*(AG11)+(1-2*$E$3)*AG12+$E$3*AG13</f>
        <v>1.9377999471052527E-78</v>
      </c>
      <c r="AI12" s="99">
        <f t="shared" ca="1" si="5"/>
        <v>3.6172246802767837E-78</v>
      </c>
      <c r="AJ12" s="99">
        <f t="shared" ca="1" si="5"/>
        <v>6.5562163116324327E-78</v>
      </c>
      <c r="AK12" s="99">
        <f t="shared" ca="1" si="5"/>
        <v>1.1569787453408924E-77</v>
      </c>
      <c r="AL12" s="99">
        <f t="shared" ca="1" si="5"/>
        <v>1.992573466038096E-77</v>
      </c>
      <c r="AM12" s="99">
        <f t="shared" ca="1" si="5"/>
        <v>3.3559114546726537E-77</v>
      </c>
      <c r="AN12" s="99">
        <f t="shared" ca="1" si="5"/>
        <v>5.5372510105891478E-77</v>
      </c>
      <c r="AO12" s="99">
        <f t="shared" ca="1" si="5"/>
        <v>8.9650683863323632E-77</v>
      </c>
      <c r="AP12" s="99">
        <f t="shared" ca="1" si="5"/>
        <v>1.4262601353483464E-76</v>
      </c>
      <c r="AQ12" s="99">
        <f t="shared" ca="1" si="5"/>
        <v>2.2324060033877938E-76</v>
      </c>
      <c r="AR12" s="99">
        <f t="shared" ca="1" si="5"/>
        <v>3.4416241258742156E-76</v>
      </c>
      <c r="AS12" s="99">
        <f t="shared" ca="1" si="5"/>
        <v>5.2312659413870383E-76</v>
      </c>
      <c r="AT12" s="99">
        <f t="shared" ca="1" si="5"/>
        <v>7.8468948171701327E-76</v>
      </c>
      <c r="AU12" s="99">
        <f t="shared" ca="1" si="5"/>
        <v>1.1625023292239907E-75</v>
      </c>
      <c r="AV12" s="99">
        <f t="shared" ca="1" si="5"/>
        <v>1.7022346651936231E-75</v>
      </c>
      <c r="AW12" s="99">
        <f t="shared" ca="1" si="5"/>
        <v>2.4653040906554903E-75</v>
      </c>
      <c r="AX12" s="99">
        <f t="shared" ca="1" si="5"/>
        <v>3.5336006859264167E-75</v>
      </c>
      <c r="AY12" s="99">
        <f t="shared" ca="1" si="5"/>
        <v>5.015430614329976E-75</v>
      </c>
      <c r="AZ12" s="99">
        <f t="shared" ca="1" si="5"/>
        <v>7.0529456208148343E-75</v>
      </c>
      <c r="BA12" s="99">
        <f t="shared" ca="1" si="5"/>
        <v>9.8313736136541392E-75</v>
      </c>
      <c r="BB12" s="99">
        <f t="shared" ca="1" si="5"/>
        <v>1.3590421138465058E-74</v>
      </c>
      <c r="BC12" s="99">
        <f t="shared" ca="1" si="5"/>
        <v>1.8638282120632368E-74</v>
      </c>
      <c r="BD12" s="99">
        <f t="shared" ca="1" si="5"/>
        <v>2.5368759647704982E-74</v>
      </c>
      <c r="BE12" s="99">
        <f t="shared" ca="1" si="5"/>
        <v>3.4282089741893099E-74</v>
      </c>
      <c r="BF12" s="96">
        <f ca="1">EXP(Workings!$B$16*'PDE 2'!F12+Workings!$B$17*'PDE 2'!$BE$2)*BE12</f>
        <v>2.8860263093777956E-73</v>
      </c>
    </row>
    <row r="13" spans="2:58" x14ac:dyDescent="0.25">
      <c r="D13" s="86">
        <v>7</v>
      </c>
      <c r="E13" s="99">
        <f t="shared" si="3"/>
        <v>166.40319999999997</v>
      </c>
      <c r="F13" s="99">
        <f t="shared" si="1"/>
        <v>5.1144137589714296</v>
      </c>
      <c r="G13" s="64">
        <f>MAX(EXP($F13)-Workings!$B$7,0)*EXP(-Workings!$B$16*'PDE 2'!$F13)</f>
        <v>0</v>
      </c>
      <c r="H13" s="99">
        <f t="shared" ca="1" si="4"/>
        <v>0</v>
      </c>
      <c r="I13" s="99">
        <f t="shared" ca="1" si="5"/>
        <v>0</v>
      </c>
      <c r="J13" s="99">
        <f t="shared" ca="1" si="5"/>
        <v>0</v>
      </c>
      <c r="K13" s="99">
        <f t="shared" ca="1" si="5"/>
        <v>0</v>
      </c>
      <c r="L13" s="99">
        <f t="shared" ca="1" si="5"/>
        <v>0</v>
      </c>
      <c r="M13" s="99">
        <f t="shared" ca="1" si="5"/>
        <v>0</v>
      </c>
      <c r="N13" s="99">
        <f t="shared" ca="1" si="5"/>
        <v>0</v>
      </c>
      <c r="O13" s="99">
        <f t="shared" ca="1" si="5"/>
        <v>0</v>
      </c>
      <c r="P13" s="99">
        <f t="shared" ca="1" si="5"/>
        <v>0</v>
      </c>
      <c r="Q13" s="99">
        <f t="shared" ca="1" si="5"/>
        <v>0</v>
      </c>
      <c r="R13" s="99">
        <f t="shared" ca="1" si="5"/>
        <v>0</v>
      </c>
      <c r="S13" s="99">
        <f t="shared" ca="1" si="5"/>
        <v>3.1683825437619393E-79</v>
      </c>
      <c r="T13" s="99">
        <f t="shared" ca="1" si="5"/>
        <v>4.1188951853152784E-78</v>
      </c>
      <c r="U13" s="99">
        <f t="shared" ca="1" si="5"/>
        <v>2.883225144618826E-77</v>
      </c>
      <c r="V13" s="99">
        <f t="shared" ca="1" si="5"/>
        <v>1.4416118297588794E-76</v>
      </c>
      <c r="W13" s="99">
        <f t="shared" ca="1" si="5"/>
        <v>5.7664443488349845E-76</v>
      </c>
      <c r="X13" s="99">
        <f t="shared" ca="1" si="5"/>
        <v>1.9605900687362578E-75</v>
      </c>
      <c r="Y13" s="99">
        <f t="shared" ca="1" si="5"/>
        <v>5.8817671766074969E-75</v>
      </c>
      <c r="Z13" s="99">
        <f t="shared" ca="1" si="5"/>
        <v>1.5964788399021316E-74</v>
      </c>
      <c r="AA13" s="99">
        <f t="shared" ca="1" si="5"/>
        <v>3.9911950439566799E-74</v>
      </c>
      <c r="AB13" s="99">
        <f t="shared" ca="1" si="5"/>
        <v>9.3127836390379934E-74</v>
      </c>
      <c r="AC13" s="99">
        <f t="shared" ca="1" si="5"/>
        <v>2.0488113452795234E-73</v>
      </c>
      <c r="AD13" s="99">
        <f t="shared" ca="1" si="5"/>
        <v>4.2838760608489925E-73</v>
      </c>
      <c r="AE13" s="99">
        <f t="shared" ca="1" si="5"/>
        <v>8.5677477085930692E-73</v>
      </c>
      <c r="AF13" s="99">
        <f t="shared" ca="1" si="5"/>
        <v>1.6476429414404874E-72</v>
      </c>
      <c r="AG13" s="99">
        <f t="shared" ca="1" si="5"/>
        <v>3.059906743710849E-72</v>
      </c>
      <c r="AH13" s="99">
        <f t="shared" ca="1" si="5"/>
        <v>5.5078293016880999E-72</v>
      </c>
      <c r="AI13" s="99">
        <f t="shared" ca="1" si="5"/>
        <v>9.638696313221856E-72</v>
      </c>
      <c r="AJ13" s="99">
        <f t="shared" ca="1" si="5"/>
        <v>1.6442473476839656E-71</v>
      </c>
      <c r="AK13" s="99">
        <f t="shared" ca="1" si="5"/>
        <v>2.7404108345999225E-71</v>
      </c>
      <c r="AL13" s="99">
        <f t="shared" ca="1" si="5"/>
        <v>4.4711943218358201E-71</v>
      </c>
      <c r="AM13" s="99">
        <f t="shared" ca="1" si="5"/>
        <v>7.1539072300789187E-71</v>
      </c>
      <c r="AN13" s="99">
        <f t="shared" ca="1" si="5"/>
        <v>1.1241848428206804E-70</v>
      </c>
      <c r="AO13" s="99">
        <f t="shared" ca="1" si="5"/>
        <v>1.7373756803751082E-70</v>
      </c>
      <c r="AP13" s="99">
        <f t="shared" ca="1" si="5"/>
        <v>2.6438311952992659E-70</v>
      </c>
      <c r="AQ13" s="99">
        <f t="shared" ca="1" si="5"/>
        <v>3.9657447502600645E-70</v>
      </c>
      <c r="AR13" s="99">
        <f t="shared" ca="1" si="5"/>
        <v>5.8692992072070514E-70</v>
      </c>
      <c r="AS13" s="99">
        <f t="shared" ca="1" si="5"/>
        <v>8.5782021151219914E-70</v>
      </c>
      <c r="AT13" s="99">
        <f t="shared" ca="1" si="5"/>
        <v>1.2390730006252088E-69</v>
      </c>
      <c r="AU13" s="99">
        <f t="shared" ca="1" si="5"/>
        <v>1.7701033748568682E-69</v>
      </c>
      <c r="AV13" s="99">
        <f t="shared" ca="1" si="5"/>
        <v>2.5025586547371809E-69</v>
      </c>
      <c r="AW13" s="99">
        <f t="shared" ca="1" si="5"/>
        <v>3.5035803119966581E-69</v>
      </c>
      <c r="AX13" s="99">
        <f t="shared" ca="1" si="5"/>
        <v>4.8598024456960045E-69</v>
      </c>
      <c r="AY13" s="99">
        <f t="shared" ca="1" si="5"/>
        <v>6.6822249209303072E-69</v>
      </c>
      <c r="AZ13" s="99">
        <f t="shared" ca="1" si="5"/>
        <v>9.112120198677905E-69</v>
      </c>
      <c r="BA13" s="99">
        <f t="shared" ca="1" si="5"/>
        <v>1.2328156271714997E-68</v>
      </c>
      <c r="BB13" s="99">
        <f t="shared" ca="1" si="5"/>
        <v>1.65549441805588E-68</v>
      </c>
      <c r="BC13" s="99">
        <f t="shared" ca="1" si="5"/>
        <v>2.2073247537854175E-68</v>
      </c>
      <c r="BD13" s="99">
        <f t="shared" ca="1" si="5"/>
        <v>2.9232123574238768E-68</v>
      </c>
      <c r="BE13" s="99">
        <f t="shared" ca="1" si="5"/>
        <v>3.8463300680622857E-68</v>
      </c>
      <c r="BF13" s="96">
        <f ca="1">EXP(Workings!$B$16*'PDE 2'!F13+Workings!$B$17*'PDE 2'!$BE$2)*BE13</f>
        <v>3.4202803973412833E-67</v>
      </c>
    </row>
    <row r="14" spans="2:58" x14ac:dyDescent="0.25">
      <c r="D14" s="86">
        <v>8</v>
      </c>
      <c r="E14" s="99">
        <f t="shared" si="3"/>
        <v>186.40319999999997</v>
      </c>
      <c r="F14" s="99">
        <f t="shared" si="1"/>
        <v>5.2279120694861074</v>
      </c>
      <c r="G14" s="64">
        <f>MAX(EXP($F14)-Workings!$B$7,0)*EXP(-Workings!$B$16*'PDE 2'!$F14)</f>
        <v>0</v>
      </c>
      <c r="H14" s="99">
        <f t="shared" ca="1" si="4"/>
        <v>0</v>
      </c>
      <c r="I14" s="99">
        <f t="shared" ca="1" si="5"/>
        <v>0</v>
      </c>
      <c r="J14" s="99">
        <f t="shared" ca="1" si="5"/>
        <v>0</v>
      </c>
      <c r="K14" s="99">
        <f t="shared" ca="1" si="5"/>
        <v>0</v>
      </c>
      <c r="L14" s="99">
        <f t="shared" ca="1" si="5"/>
        <v>0</v>
      </c>
      <c r="M14" s="99">
        <f t="shared" ca="1" si="5"/>
        <v>0</v>
      </c>
      <c r="N14" s="99">
        <f t="shared" ca="1" si="5"/>
        <v>0</v>
      </c>
      <c r="O14" s="99">
        <f t="shared" ca="1" si="5"/>
        <v>0</v>
      </c>
      <c r="P14" s="99">
        <f t="shared" ca="1" si="5"/>
        <v>0</v>
      </c>
      <c r="Q14" s="99">
        <f t="shared" ca="1" si="5"/>
        <v>0</v>
      </c>
      <c r="R14" s="99">
        <f t="shared" ca="1" si="5"/>
        <v>1.0390997339399986E-72</v>
      </c>
      <c r="S14" s="99">
        <f t="shared" ca="1" si="5"/>
        <v>1.2469190483058448E-71</v>
      </c>
      <c r="T14" s="99">
        <f t="shared" ca="1" si="5"/>
        <v>8.1049697032461867E-71</v>
      </c>
      <c r="U14" s="99">
        <f t="shared" ca="1" si="5"/>
        <v>3.782317276503069E-70</v>
      </c>
      <c r="V14" s="99">
        <f t="shared" ca="1" si="5"/>
        <v>1.4183682593096027E-69</v>
      </c>
      <c r="W14" s="99">
        <f t="shared" ca="1" si="5"/>
        <v>4.538776127779002E-69</v>
      </c>
      <c r="X14" s="99">
        <f t="shared" ca="1" si="5"/>
        <v>1.2859859173010761E-68</v>
      </c>
      <c r="Y14" s="99">
        <f t="shared" ca="1" si="5"/>
        <v>3.3068192530245836E-68</v>
      </c>
      <c r="Z14" s="99">
        <f t="shared" ca="1" si="5"/>
        <v>7.8536917426373259E-68</v>
      </c>
      <c r="AA14" s="99">
        <f t="shared" ca="1" si="5"/>
        <v>1.7452639465207537E-67</v>
      </c>
      <c r="AB14" s="99">
        <f t="shared" ca="1" si="5"/>
        <v>3.6650524288240702E-67</v>
      </c>
      <c r="AC14" s="99">
        <f t="shared" ca="1" si="5"/>
        <v>7.3301011399110997E-67</v>
      </c>
      <c r="AD14" s="99">
        <f t="shared" ca="1" si="5"/>
        <v>1.4049353392504076E-66</v>
      </c>
      <c r="AE14" s="99">
        <f t="shared" ca="1" si="5"/>
        <v>2.5937254646490487E-66</v>
      </c>
      <c r="AF14" s="99">
        <f t="shared" ca="1" si="5"/>
        <v>4.6316502663289288E-66</v>
      </c>
      <c r="AG14" s="99">
        <f t="shared" ca="1" si="5"/>
        <v>8.0281897231715925E-66</v>
      </c>
      <c r="AH14" s="99">
        <f t="shared" ca="1" si="5"/>
        <v>1.3547563286695674E-65</v>
      </c>
      <c r="AI14" s="99">
        <f t="shared" ca="1" si="5"/>
        <v>2.2313622331482507E-65</v>
      </c>
      <c r="AJ14" s="99">
        <f t="shared" ca="1" si="5"/>
        <v>3.5949706634143271E-65</v>
      </c>
      <c r="AK14" s="99">
        <f t="shared" ca="1" si="5"/>
        <v>5.6762665896170185E-65</v>
      </c>
      <c r="AL14" s="99">
        <f t="shared" ca="1" si="5"/>
        <v>8.798208751564283E-65</v>
      </c>
      <c r="AM14" s="99">
        <f t="shared" ca="1" si="5"/>
        <v>1.3406787488342198E-64</v>
      </c>
      <c r="AN14" s="99">
        <f t="shared" ca="1" si="5"/>
        <v>2.0110171032885103E-64</v>
      </c>
      <c r="AO14" s="99">
        <f t="shared" ca="1" si="5"/>
        <v>2.9728063840474771E-64</v>
      </c>
      <c r="AP14" s="99">
        <f t="shared" ca="1" si="5"/>
        <v>4.3353404445720265E-64</v>
      </c>
      <c r="AQ14" s="99">
        <f t="shared" ca="1" si="5"/>
        <v>6.2428870738694224E-64</v>
      </c>
      <c r="AR14" s="99">
        <f t="shared" ca="1" si="5"/>
        <v>8.8841040222923912E-64</v>
      </c>
      <c r="AS14" s="99">
        <f t="shared" ca="1" si="5"/>
        <v>1.250354746750959E-63</v>
      </c>
      <c r="AT14" s="99">
        <f t="shared" ca="1" si="5"/>
        <v>1.7415646568176497E-63</v>
      </c>
      <c r="AU14" s="99">
        <f t="shared" ca="1" si="5"/>
        <v>2.4021569289908463E-63</v>
      </c>
      <c r="AV14" s="99">
        <f t="shared" ca="1" si="5"/>
        <v>3.2829461378851265E-63</v>
      </c>
      <c r="AW14" s="99">
        <f t="shared" ca="1" si="5"/>
        <v>4.4478602534939782E-63</v>
      </c>
      <c r="AX14" s="99">
        <f t="shared" ca="1" si="5"/>
        <v>5.9768091842701718E-63</v>
      </c>
      <c r="AY14" s="99">
        <f t="shared" ca="1" si="5"/>
        <v>7.9690748705459044E-63</v>
      </c>
      <c r="AZ14" s="99">
        <f t="shared" ca="1" si="5"/>
        <v>1.0547299626265236E-62</v>
      </c>
      <c r="BA14" s="99">
        <f t="shared" ca="1" si="5"/>
        <v>1.3862158192379918E-62</v>
      </c>
      <c r="BB14" s="99">
        <f t="shared" ca="1" si="5"/>
        <v>1.8097808461071949E-62</v>
      </c>
      <c r="BC14" s="99">
        <f t="shared" ca="1" si="5"/>
        <v>2.3478226095693707E-62</v>
      </c>
      <c r="BD14" s="99">
        <f t="shared" ca="1" si="5"/>
        <v>3.0274539347479144E-62</v>
      </c>
      <c r="BE14" s="99">
        <f t="shared" ca="1" si="5"/>
        <v>3.881349229823665E-62</v>
      </c>
      <c r="BF14" s="96">
        <f ca="1">EXP(Workings!$B$16*'PDE 2'!F14+Workings!$B$17*'PDE 2'!$BE$2)*BE14</f>
        <v>3.6230767922071395E-61</v>
      </c>
    </row>
    <row r="15" spans="2:58" x14ac:dyDescent="0.25">
      <c r="D15" s="86">
        <v>9</v>
      </c>
      <c r="E15" s="99">
        <f t="shared" si="3"/>
        <v>206.40319999999997</v>
      </c>
      <c r="F15" s="99">
        <f t="shared" si="1"/>
        <v>5.3298315373631926</v>
      </c>
      <c r="G15" s="64">
        <f>MAX(EXP($F15)-Workings!$B$7,0)*EXP(-Workings!$B$16*'PDE 2'!$F15)</f>
        <v>0</v>
      </c>
      <c r="H15" s="99">
        <f t="shared" ca="1" si="4"/>
        <v>0</v>
      </c>
      <c r="I15" s="99">
        <f t="shared" ca="1" si="5"/>
        <v>0</v>
      </c>
      <c r="J15" s="99">
        <f t="shared" ca="1" si="5"/>
        <v>0</v>
      </c>
      <c r="K15" s="99">
        <f t="shared" ca="1" si="5"/>
        <v>0</v>
      </c>
      <c r="L15" s="99">
        <f t="shared" ca="1" si="5"/>
        <v>0</v>
      </c>
      <c r="M15" s="99">
        <f t="shared" ca="1" si="5"/>
        <v>0</v>
      </c>
      <c r="N15" s="99">
        <f t="shared" ca="1" si="5"/>
        <v>0</v>
      </c>
      <c r="O15" s="99">
        <f t="shared" ca="1" si="5"/>
        <v>0</v>
      </c>
      <c r="P15" s="99">
        <f t="shared" ca="1" si="5"/>
        <v>0</v>
      </c>
      <c r="Q15" s="99">
        <f t="shared" ca="1" si="5"/>
        <v>3.4078216318922587E-66</v>
      </c>
      <c r="R15" s="99">
        <f t="shared" ca="1" si="5"/>
        <v>3.7486019288157348E-65</v>
      </c>
      <c r="S15" s="99">
        <f t="shared" ca="1" si="5"/>
        <v>2.2491600375305811E-64</v>
      </c>
      <c r="T15" s="99">
        <f t="shared" ca="1" si="5"/>
        <v>9.7463553103466807E-64</v>
      </c>
      <c r="U15" s="99">
        <f t="shared" ca="1" si="5"/>
        <v>3.411222660322189E-63</v>
      </c>
      <c r="V15" s="99">
        <f t="shared" ca="1" si="5"/>
        <v>1.0233662886071801E-62</v>
      </c>
      <c r="W15" s="99">
        <f t="shared" ca="1" si="5"/>
        <v>2.7289754109812574E-62</v>
      </c>
      <c r="X15" s="99">
        <f t="shared" ca="1" si="5"/>
        <v>6.6275084128356309E-62</v>
      </c>
      <c r="Y15" s="99">
        <f t="shared" ca="1" si="5"/>
        <v>1.4911886504902374E-61</v>
      </c>
      <c r="Z15" s="99">
        <f t="shared" ca="1" si="5"/>
        <v>3.1480633615293478E-61</v>
      </c>
      <c r="AA15" s="99">
        <f t="shared" ca="1" si="5"/>
        <v>6.2961235884935931E-61</v>
      </c>
      <c r="AB15" s="99">
        <f t="shared" ca="1" si="5"/>
        <v>1.2019866321139359E-60</v>
      </c>
      <c r="AC15" s="99">
        <f t="shared" ca="1" si="5"/>
        <v>2.2036410617789178E-60</v>
      </c>
      <c r="AD15" s="99">
        <f t="shared" ca="1" si="5"/>
        <v>3.8987476298235288E-60</v>
      </c>
      <c r="AE15" s="99">
        <f t="shared" ca="1" si="5"/>
        <v>6.6835640379573515E-60</v>
      </c>
      <c r="AF15" s="99">
        <f t="shared" ca="1" si="5"/>
        <v>1.1139267850841152E-59</v>
      </c>
      <c r="AG15" s="99">
        <f t="shared" ca="1" si="5"/>
        <v>1.8101301245770663E-59</v>
      </c>
      <c r="AH15" s="99">
        <f t="shared" ca="1" si="5"/>
        <v>2.8749111195064018E-59</v>
      </c>
      <c r="AI15" s="99">
        <f t="shared" ca="1" si="5"/>
        <v>4.4720817372228459E-59</v>
      </c>
      <c r="AJ15" s="99">
        <f t="shared" ca="1" si="5"/>
        <v>6.825805569070364E-59</v>
      </c>
      <c r="AK15" s="99">
        <f t="shared" ca="1" si="5"/>
        <v>1.0238703256203576E-58</v>
      </c>
      <c r="AL15" s="99">
        <f t="shared" ca="1" si="5"/>
        <v>1.5114268710615857E-58</v>
      </c>
      <c r="AM15" s="99">
        <f t="shared" ca="1" si="5"/>
        <v>2.1984379906745506E-58</v>
      </c>
      <c r="AN15" s="99">
        <f t="shared" ca="1" si="5"/>
        <v>3.1542790249384015E-58</v>
      </c>
      <c r="AO15" s="99">
        <f t="shared" ca="1" si="5"/>
        <v>4.4685597272961244E-58</v>
      </c>
      <c r="AP15" s="99">
        <f t="shared" ca="1" si="5"/>
        <v>6.2559805036362914E-58</v>
      </c>
      <c r="AQ15" s="99">
        <f t="shared" ca="1" si="5"/>
        <v>8.6621225386979742E-58</v>
      </c>
      <c r="AR15" s="99">
        <f t="shared" ca="1" si="5"/>
        <v>1.1870310161842656E-57</v>
      </c>
      <c r="AS15" s="99">
        <f t="shared" ca="1" si="5"/>
        <v>1.6109698627903401E-57</v>
      </c>
      <c r="AT15" s="99">
        <f t="shared" ca="1" si="5"/>
        <v>2.1664756334353231E-57</v>
      </c>
      <c r="AU15" s="99">
        <f t="shared" ca="1" si="5"/>
        <v>2.8886327397904336E-57</v>
      </c>
      <c r="AV15" s="99">
        <f t="shared" ca="1" si="5"/>
        <v>3.820447850592976E-57</v>
      </c>
      <c r="AW15" s="99">
        <f t="shared" ca="1" si="5"/>
        <v>5.0143353074861758E-57</v>
      </c>
      <c r="AX15" s="99">
        <f t="shared" ca="1" si="5"/>
        <v>6.5338276023038341E-57</v>
      </c>
      <c r="AY15" s="99">
        <f t="shared" ca="1" si="5"/>
        <v>8.4555373933413335E-57</v>
      </c>
      <c r="AZ15" s="99">
        <f t="shared" ca="1" si="5"/>
        <v>1.0871399807618723E-56</v>
      </c>
      <c r="BA15" s="99">
        <f t="shared" ca="1" si="5"/>
        <v>1.3891226171682789E-56</v>
      </c>
      <c r="BB15" s="99">
        <f t="shared" ca="1" si="5"/>
        <v>1.7645602838520294E-56</v>
      </c>
      <c r="BC15" s="99">
        <f t="shared" ca="1" si="5"/>
        <v>2.228917143607107E-56</v>
      </c>
      <c r="BD15" s="99">
        <f t="shared" ca="1" si="5"/>
        <v>2.8004329657044407E-56</v>
      </c>
      <c r="BE15" s="99">
        <f t="shared" ca="1" si="5"/>
        <v>3.5005394643662418E-56</v>
      </c>
      <c r="BF15" s="96">
        <f ca="1">EXP(Workings!$B$16*'PDE 2'!F15+Workings!$B$17*'PDE 2'!$BE$2)*BE15</f>
        <v>3.413178130644869E-55</v>
      </c>
    </row>
    <row r="16" spans="2:58" x14ac:dyDescent="0.25">
      <c r="D16" s="86">
        <v>10</v>
      </c>
      <c r="E16" s="99">
        <f t="shared" si="3"/>
        <v>226.40319999999997</v>
      </c>
      <c r="F16" s="99">
        <f t="shared" si="1"/>
        <v>5.4223174805047583</v>
      </c>
      <c r="G16" s="64">
        <f>MAX(EXP($F16)-Workings!$B$7,0)*EXP(-Workings!$B$16*'PDE 2'!$F16)</f>
        <v>0</v>
      </c>
      <c r="H16" s="99">
        <f t="shared" ca="1" si="4"/>
        <v>0</v>
      </c>
      <c r="I16" s="99">
        <f t="shared" ca="1" si="5"/>
        <v>0</v>
      </c>
      <c r="J16" s="99">
        <f t="shared" ca="1" si="5"/>
        <v>0</v>
      </c>
      <c r="K16" s="99">
        <f t="shared" ca="1" si="5"/>
        <v>0</v>
      </c>
      <c r="L16" s="99">
        <f t="shared" ca="1" si="5"/>
        <v>0</v>
      </c>
      <c r="M16" s="99">
        <f t="shared" ca="1" si="5"/>
        <v>0</v>
      </c>
      <c r="N16" s="99">
        <f t="shared" ca="1" si="5"/>
        <v>0</v>
      </c>
      <c r="O16" s="99">
        <f t="shared" ca="1" si="5"/>
        <v>0</v>
      </c>
      <c r="P16" s="99">
        <f t="shared" ca="1" si="5"/>
        <v>1.1176259501827E-59</v>
      </c>
      <c r="Q16" s="99">
        <f t="shared" ca="1" si="5"/>
        <v>1.1176254062803875E-58</v>
      </c>
      <c r="R16" s="99">
        <f t="shared" ca="1" si="5"/>
        <v>6.1469367430809638E-58</v>
      </c>
      <c r="S16" s="99">
        <f t="shared" ca="1" si="5"/>
        <v>2.4587735006485384E-57</v>
      </c>
      <c r="T16" s="99">
        <f t="shared" ca="1" si="5"/>
        <v>7.9910099882122605E-57</v>
      </c>
      <c r="U16" s="99">
        <f t="shared" ca="1" si="5"/>
        <v>2.23748170780926E-56</v>
      </c>
      <c r="V16" s="99">
        <f t="shared" ca="1" si="5"/>
        <v>5.5937015472991272E-56</v>
      </c>
      <c r="W16" s="99">
        <f t="shared" ca="1" si="5"/>
        <v>1.2785597314460603E-55</v>
      </c>
      <c r="X16" s="99">
        <f t="shared" ca="1" si="5"/>
        <v>2.7169381071011505E-55</v>
      </c>
      <c r="Y16" s="99">
        <f t="shared" ca="1" si="5"/>
        <v>5.4338735697602159E-55</v>
      </c>
      <c r="Z16" s="99">
        <f t="shared" ca="1" si="5"/>
        <v>1.032435475810705E-54</v>
      </c>
      <c r="AA16" s="99">
        <f t="shared" ca="1" si="5"/>
        <v>1.8771544970313256E-54</v>
      </c>
      <c r="AB16" s="99">
        <f t="shared" ca="1" si="5"/>
        <v>3.2850187711218605E-54</v>
      </c>
      <c r="AC16" s="99">
        <f t="shared" ca="1" si="5"/>
        <v>5.5592598302826197E-54</v>
      </c>
      <c r="AD16" s="99">
        <f t="shared" ca="1" si="5"/>
        <v>9.1330652764932096E-54</v>
      </c>
      <c r="AE16" s="99">
        <f t="shared" ca="1" si="5"/>
        <v>1.461289733089621E-53</v>
      </c>
      <c r="AF16" s="99">
        <f t="shared" ca="1" si="5"/>
        <v>2.2832640967823386E-53</v>
      </c>
      <c r="AG16" s="99">
        <f t="shared" ca="1" si="5"/>
        <v>3.4920492721135715E-53</v>
      </c>
      <c r="AH16" s="99">
        <f t="shared" ca="1" si="5"/>
        <v>5.238071359017846E-53</v>
      </c>
      <c r="AI16" s="99">
        <f t="shared" ca="1" si="5"/>
        <v>7.7192592987508606E-53</v>
      </c>
      <c r="AJ16" s="99">
        <f t="shared" ca="1" si="5"/>
        <v>1.1192920536057973E-52</v>
      </c>
      <c r="AK16" s="99">
        <f t="shared" ca="1" si="5"/>
        <v>1.5989878698471453E-52</v>
      </c>
      <c r="AL16" s="99">
        <f t="shared" ca="1" si="5"/>
        <v>2.2531181746490345E-52</v>
      </c>
      <c r="AM16" s="99">
        <f t="shared" ca="1" si="5"/>
        <v>3.1347715869918426E-52</v>
      </c>
      <c r="AN16" s="99">
        <f t="shared" ca="1" si="5"/>
        <v>4.3103088344652835E-52</v>
      </c>
      <c r="AO16" s="99">
        <f t="shared" ca="1" si="5"/>
        <v>5.8620171620723024E-52</v>
      </c>
      <c r="AP16" s="99">
        <f t="shared" ca="1" si="5"/>
        <v>7.8911731086371305E-52</v>
      </c>
      <c r="AQ16" s="99">
        <f t="shared" ca="1" si="5"/>
        <v>1.0521559024443687E-51</v>
      </c>
      <c r="AR16" s="99">
        <f t="shared" ca="1" si="5"/>
        <v>1.3903481944624972E-51</v>
      </c>
      <c r="AS16" s="99">
        <f t="shared" ca="1" si="5"/>
        <v>1.8218346785465326E-51</v>
      </c>
      <c r="AT16" s="99">
        <f t="shared" ca="1" si="5"/>
        <v>2.3683839295164999E-51</v>
      </c>
      <c r="AU16" s="99">
        <f t="shared" ca="1" si="5"/>
        <v>3.0559777766749737E-51</v>
      </c>
      <c r="AV16" s="99">
        <f t="shared" ca="1" si="5"/>
        <v>3.9154696208686508E-51</v>
      </c>
      <c r="AW16" s="99">
        <f t="shared" ca="1" si="5"/>
        <v>4.9833225468389727E-51</v>
      </c>
      <c r="AX16" s="99">
        <f t="shared" ca="1" si="5"/>
        <v>6.3024342715169379E-51</v>
      </c>
      <c r="AY16" s="99">
        <f t="shared" ca="1" si="5"/>
        <v>7.9230563712283329E-51</v>
      </c>
      <c r="AZ16" s="99">
        <f t="shared" ca="1" si="5"/>
        <v>9.9038156442609985E-51</v>
      </c>
      <c r="BA16" s="99">
        <f t="shared" ca="1" si="5"/>
        <v>1.2312845889905338E-50</v>
      </c>
      <c r="BB16" s="99">
        <f t="shared" ca="1" si="5"/>
        <v>1.5229038820913146E-50</v>
      </c>
      <c r="BC16" s="99">
        <f t="shared" ca="1" si="5"/>
        <v>1.8743423273327744E-50</v>
      </c>
      <c r="BD16" s="99">
        <f t="shared" ca="1" si="5"/>
        <v>2.2960682335820477E-50</v>
      </c>
      <c r="BE16" s="99">
        <f t="shared" ca="1" si="5"/>
        <v>2.8000818490024702E-50</v>
      </c>
      <c r="BF16" s="96">
        <f ca="1">EXP(Workings!$B$16*'PDE 2'!F16+Workings!$B$17*'PDE 2'!$BE$2)*BE16</f>
        <v>2.840349638220564E-49</v>
      </c>
    </row>
    <row r="17" spans="1:58" x14ac:dyDescent="0.25">
      <c r="D17" s="86">
        <v>11</v>
      </c>
      <c r="E17" s="99">
        <f t="shared" si="3"/>
        <v>246.40319999999997</v>
      </c>
      <c r="F17" s="99">
        <f t="shared" si="1"/>
        <v>5.5069692185880212</v>
      </c>
      <c r="G17" s="64">
        <f>MAX(EXP($F17)-Workings!$B$7,0)*EXP(-Workings!$B$16*'PDE 2'!$F17)</f>
        <v>0</v>
      </c>
      <c r="H17" s="99">
        <f t="shared" ca="1" si="4"/>
        <v>0</v>
      </c>
      <c r="I17" s="99">
        <f t="shared" ca="1" si="5"/>
        <v>0</v>
      </c>
      <c r="J17" s="99">
        <f t="shared" ca="1" si="5"/>
        <v>0</v>
      </c>
      <c r="K17" s="99">
        <f t="shared" ca="1" si="5"/>
        <v>0</v>
      </c>
      <c r="L17" s="99">
        <f t="shared" ca="1" si="5"/>
        <v>0</v>
      </c>
      <c r="M17" s="99">
        <f t="shared" ca="1" si="5"/>
        <v>0</v>
      </c>
      <c r="N17" s="99">
        <f t="shared" ca="1" si="5"/>
        <v>0</v>
      </c>
      <c r="O17" s="99">
        <f t="shared" ca="1" si="5"/>
        <v>3.6653554658851169E-53</v>
      </c>
      <c r="P17" s="99">
        <f t="shared" ca="1" si="5"/>
        <v>3.2988183590449306E-52</v>
      </c>
      <c r="Q17" s="99">
        <f t="shared" ca="1" si="5"/>
        <v>1.6494083993970241E-51</v>
      </c>
      <c r="R17" s="99">
        <f t="shared" ca="1" si="5"/>
        <v>6.0478279373305894E-51</v>
      </c>
      <c r="S17" s="99">
        <f t="shared" ca="1" si="5"/>
        <v>1.8143475230620629E-50</v>
      </c>
      <c r="T17" s="99">
        <f t="shared" ca="1" si="5"/>
        <v>4.7173013288059994E-50</v>
      </c>
      <c r="U17" s="99">
        <f t="shared" ca="1" si="5"/>
        <v>1.1007031227854122E-49</v>
      </c>
      <c r="V17" s="99">
        <f t="shared" ca="1" si="5"/>
        <v>2.3586484332493331E-49</v>
      </c>
      <c r="W17" s="99">
        <f t="shared" ca="1" si="5"/>
        <v>4.7172946353466975E-49</v>
      </c>
      <c r="X17" s="99">
        <f t="shared" ca="1" si="5"/>
        <v>8.9104412079255168E-49</v>
      </c>
      <c r="Y17" s="99">
        <f t="shared" ca="1" si="5"/>
        <v>1.6038786588356938E-48</v>
      </c>
      <c r="Z17" s="99">
        <f t="shared" ca="1" si="5"/>
        <v>2.7703345549689461E-48</v>
      </c>
      <c r="AA17" s="99">
        <f t="shared" ca="1" si="5"/>
        <v>4.6172220744615084E-48</v>
      </c>
      <c r="AB17" s="99">
        <f t="shared" ca="1" si="5"/>
        <v>7.4585859771918074E-48</v>
      </c>
      <c r="AC17" s="99">
        <f t="shared" ca="1" si="5"/>
        <v>1.1720629563478071E-47</v>
      </c>
      <c r="AD17" s="99">
        <f t="shared" ca="1" si="5"/>
        <v>1.7971623497246328E-47</v>
      </c>
      <c r="AE17" s="99">
        <f t="shared" ca="1" si="5"/>
        <v>2.6957422495745896E-47</v>
      </c>
      <c r="AF17" s="99">
        <f t="shared" ca="1" si="5"/>
        <v>3.9643249625924655E-47</v>
      </c>
      <c r="AG17" s="99">
        <f t="shared" ca="1" si="5"/>
        <v>5.7262444598322782E-47</v>
      </c>
      <c r="AH17" s="99">
        <f t="shared" ca="1" si="5"/>
        <v>8.1372909099933667E-47</v>
      </c>
      <c r="AI17" s="99">
        <f t="shared" ca="1" si="5"/>
        <v>1.1392201885791524E-46</v>
      </c>
      <c r="AJ17" s="99">
        <f t="shared" ca="1" si="5"/>
        <v>1.5732080877631284E-46</v>
      </c>
      <c r="AK17" s="99">
        <f t="shared" ca="1" si="5"/>
        <v>2.1452827413807729E-46</v>
      </c>
      <c r="AL17" s="99">
        <f t="shared" ca="1" si="5"/>
        <v>2.8914666751462771E-46</v>
      </c>
      <c r="AM17" s="99">
        <f t="shared" ca="1" si="5"/>
        <v>3.8552870767501876E-46</v>
      </c>
      <c r="AN17" s="99">
        <f t="shared" ca="1" si="5"/>
        <v>5.0889765343642697E-46</v>
      </c>
      <c r="AO17" s="99">
        <f t="shared" ca="1" si="5"/>
        <v>6.6548123204716703E-46</v>
      </c>
      <c r="AP17" s="99">
        <f t="shared" ca="1" si="5"/>
        <v>8.6266044834279378E-46</v>
      </c>
      <c r="AQ17" s="99">
        <f t="shared" ca="1" si="5"/>
        <v>1.109134337565029E-45</v>
      </c>
      <c r="AR17" s="99">
        <f t="shared" ref="I17:BE22" ca="1" si="6">$E$3*(AQ16)+(1-2*$E$3)*AQ17+$E$3*AQ18</f>
        <v>1.4151017613822841E-45</v>
      </c>
      <c r="AS17" s="99">
        <f t="shared" ca="1" si="6"/>
        <v>1.7924613832994223E-45</v>
      </c>
      <c r="AT17" s="99">
        <f t="shared" ca="1" si="6"/>
        <v>2.2550309962931255E-45</v>
      </c>
      <c r="AU17" s="99">
        <f t="shared" ca="1" si="6"/>
        <v>2.818787412157786E-45</v>
      </c>
      <c r="AV17" s="99">
        <f t="shared" ca="1" si="6"/>
        <v>3.5021281586952576E-45</v>
      </c>
      <c r="AW17" s="99">
        <f t="shared" ca="1" si="6"/>
        <v>4.3261562675300465E-45</v>
      </c>
      <c r="AX17" s="99">
        <f t="shared" ca="1" si="6"/>
        <v>5.3149894719796119E-45</v>
      </c>
      <c r="AY17" s="99">
        <f t="shared" ca="1" si="6"/>
        <v>6.496095171057398E-45</v>
      </c>
      <c r="AZ17" s="99">
        <f t="shared" ca="1" si="6"/>
        <v>7.9006525523339815E-45</v>
      </c>
      <c r="BA17" s="99">
        <f t="shared" ca="1" si="6"/>
        <v>9.5639433030293641E-45</v>
      </c>
      <c r="BB17" s="99">
        <f t="shared" ca="1" si="6"/>
        <v>1.1525772375356896E-44</v>
      </c>
      <c r="BC17" s="99">
        <f t="shared" ca="1" si="6"/>
        <v>1.3830920308786637E-44</v>
      </c>
      <c r="BD17" s="99">
        <f t="shared" ca="1" si="6"/>
        <v>1.6529628648543114E-44</v>
      </c>
      <c r="BE17" s="99">
        <f t="shared" ca="1" si="6"/>
        <v>1.9678120036299442E-44</v>
      </c>
      <c r="BF17" s="96">
        <f ca="1">EXP(Workings!$B$16*'PDE 2'!F17+Workings!$B$17*'PDE 2'!$BE$2)*BE17</f>
        <v>2.0696969680984576E-43</v>
      </c>
    </row>
    <row r="18" spans="1:58" x14ac:dyDescent="0.25">
      <c r="D18" s="86">
        <v>12</v>
      </c>
      <c r="E18" s="99">
        <f t="shared" si="3"/>
        <v>266.40319999999997</v>
      </c>
      <c r="F18" s="99">
        <f t="shared" si="1"/>
        <v>5.5850109506061028</v>
      </c>
      <c r="G18" s="64">
        <f>MAX(EXP($F18)-Workings!$B$7,0)*EXP(-Workings!$B$16*'PDE 2'!$F18)</f>
        <v>0</v>
      </c>
      <c r="H18" s="99">
        <f t="shared" ca="1" si="4"/>
        <v>0</v>
      </c>
      <c r="I18" s="99">
        <f t="shared" ca="1" si="6"/>
        <v>0</v>
      </c>
      <c r="J18" s="99">
        <f t="shared" ca="1" si="6"/>
        <v>0</v>
      </c>
      <c r="K18" s="99">
        <f t="shared" ca="1" si="6"/>
        <v>0</v>
      </c>
      <c r="L18" s="99">
        <f t="shared" ca="1" si="6"/>
        <v>0</v>
      </c>
      <c r="M18" s="99">
        <f t="shared" ca="1" si="6"/>
        <v>0</v>
      </c>
      <c r="N18" s="99">
        <f t="shared" ca="1" si="6"/>
        <v>1.2020865021161768E-46</v>
      </c>
      <c r="O18" s="99">
        <f t="shared" ca="1" si="6"/>
        <v>9.6166876330139141E-46</v>
      </c>
      <c r="P18" s="99">
        <f t="shared" ca="1" si="6"/>
        <v>4.3275074620952621E-45</v>
      </c>
      <c r="Q18" s="99">
        <f t="shared" ca="1" si="6"/>
        <v>1.4425018297784128E-44</v>
      </c>
      <c r="R18" s="99">
        <f t="shared" ca="1" si="6"/>
        <v>3.9668782235281745E-44</v>
      </c>
      <c r="S18" s="99">
        <f t="shared" ca="1" si="6"/>
        <v>9.5205033963998581E-44</v>
      </c>
      <c r="T18" s="99">
        <f t="shared" ca="1" si="6"/>
        <v>2.0627747955390856E-43</v>
      </c>
      <c r="U18" s="99">
        <f t="shared" ca="1" si="6"/>
        <v>4.1255477103840002E-43</v>
      </c>
      <c r="V18" s="99">
        <f t="shared" ca="1" si="6"/>
        <v>7.7353984306701714E-43</v>
      </c>
      <c r="W18" s="99">
        <f t="shared" ca="1" si="6"/>
        <v>1.3751813163328155E-42</v>
      </c>
      <c r="X18" s="99">
        <f t="shared" ca="1" si="6"/>
        <v>2.33780717204067E-42</v>
      </c>
      <c r="Y18" s="99">
        <f t="shared" ca="1" si="6"/>
        <v>3.8255009012444952E-42</v>
      </c>
      <c r="Z18" s="99">
        <f t="shared" ca="1" si="6"/>
        <v>6.0570403324429539E-42</v>
      </c>
      <c r="AA18" s="99">
        <f t="shared" ca="1" si="6"/>
        <v>9.3185193403848561E-42</v>
      </c>
      <c r="AB18" s="99">
        <f t="shared" ca="1" si="6"/>
        <v>1.3977772638597054E-41</v>
      </c>
      <c r="AC18" s="99">
        <f t="shared" ca="1" si="6"/>
        <v>2.0500723857709292E-41</v>
      </c>
      <c r="AD18" s="99">
        <f t="shared" ca="1" si="6"/>
        <v>2.946977711121207E-41</v>
      </c>
      <c r="AE18" s="99">
        <f t="shared" ca="1" si="6"/>
        <v>4.1604372249845185E-41</v>
      </c>
      <c r="AF18" s="99">
        <f t="shared" ca="1" si="6"/>
        <v>5.7783824005376299E-41</v>
      </c>
      <c r="AG18" s="99">
        <f t="shared" ca="1" si="6"/>
        <v>7.9072565224090479E-41</v>
      </c>
      <c r="AH18" s="99">
        <f t="shared" ca="1" si="6"/>
        <v>1.0674791438987317E-40</v>
      </c>
      <c r="AI18" s="99">
        <f t="shared" ca="1" si="6"/>
        <v>1.4233048763633102E-40</v>
      </c>
      <c r="AJ18" s="99">
        <f t="shared" ca="1" si="6"/>
        <v>1.87617375446956E-40</v>
      </c>
      <c r="AK18" s="99">
        <f t="shared" ca="1" si="6"/>
        <v>2.4471820424190092E-40</v>
      </c>
      <c r="AL18" s="99">
        <f t="shared" ca="1" si="6"/>
        <v>3.1609420304949443E-40</v>
      </c>
      <c r="AM18" s="99">
        <f t="shared" ca="1" si="6"/>
        <v>4.0460039546018746E-40</v>
      </c>
      <c r="AN18" s="99">
        <f t="shared" ca="1" si="6"/>
        <v>5.1353103706018205E-40</v>
      </c>
      <c r="AO18" s="99">
        <f t="shared" ca="1" si="6"/>
        <v>6.4666841854155813E-40</v>
      </c>
      <c r="AP18" s="99">
        <f t="shared" ca="1" si="6"/>
        <v>8.0833515468527259E-40</v>
      </c>
      <c r="AQ18" s="99">
        <f t="shared" ca="1" si="6"/>
        <v>1.0034500794129677E-39</v>
      </c>
      <c r="AR18" s="99">
        <f t="shared" ca="1" si="6"/>
        <v>1.2375878671030899E-39</v>
      </c>
      <c r="AS18" s="99">
        <f t="shared" ca="1" si="6"/>
        <v>1.5170425003663768E-39</v>
      </c>
      <c r="AT18" s="99">
        <f t="shared" ca="1" si="6"/>
        <v>1.8488947044753355E-39</v>
      </c>
      <c r="AU18" s="99">
        <f t="shared" ca="1" si="6"/>
        <v>2.2410834686418982E-39</v>
      </c>
      <c r="AV18" s="99">
        <f t="shared" ca="1" si="6"/>
        <v>2.7024817743369962E-39</v>
      </c>
      <c r="AW18" s="99">
        <f t="shared" ca="1" si="6"/>
        <v>3.2429766508453628E-39</v>
      </c>
      <c r="AX18" s="99">
        <f t="shared" ca="1" si="6"/>
        <v>3.8735536782484346E-39</v>
      </c>
      <c r="AY18" s="99">
        <f t="shared" ca="1" si="6"/>
        <v>4.6063860580277752E-39</v>
      </c>
      <c r="AZ18" s="99">
        <f t="shared" ca="1" si="6"/>
        <v>5.4549283714810232E-39</v>
      </c>
      <c r="BA18" s="99">
        <f t="shared" ca="1" si="6"/>
        <v>6.4340151461419104E-39</v>
      </c>
      <c r="BB18" s="99">
        <f t="shared" ca="1" si="6"/>
        <v>7.5599643503954674E-39</v>
      </c>
      <c r="BC18" s="99">
        <f t="shared" ca="1" si="6"/>
        <v>8.8506859364790945E-39</v>
      </c>
      <c r="BD18" s="99">
        <f t="shared" ca="1" si="6"/>
        <v>1.0325795552059737E-38</v>
      </c>
      <c r="BE18" s="99">
        <f t="shared" ca="1" si="6"/>
        <v>1.2006733540576967E-38</v>
      </c>
      <c r="BF18" s="96">
        <f ca="1">EXP(Workings!$B$16*'PDE 2'!F18+Workings!$B$17*'PDE 2'!$BE$2)*BE18</f>
        <v>1.3056971537238851E-37</v>
      </c>
    </row>
    <row r="19" spans="1:58" x14ac:dyDescent="0.25">
      <c r="D19" s="86">
        <v>13</v>
      </c>
      <c r="E19" s="99">
        <f t="shared" si="3"/>
        <v>286.40319999999997</v>
      </c>
      <c r="F19" s="99">
        <f t="shared" si="1"/>
        <v>5.6574006082084285</v>
      </c>
      <c r="G19" s="64">
        <f>MAX(EXP($F19)-Workings!$B$7,0)*EXP(-Workings!$B$16*'PDE 2'!$F19)</f>
        <v>0</v>
      </c>
      <c r="H19" s="99">
        <f t="shared" ca="1" si="4"/>
        <v>0</v>
      </c>
      <c r="I19" s="99">
        <f t="shared" ca="1" si="6"/>
        <v>0</v>
      </c>
      <c r="J19" s="99">
        <f t="shared" ca="1" si="6"/>
        <v>0</v>
      </c>
      <c r="K19" s="99">
        <f t="shared" ca="1" si="6"/>
        <v>0</v>
      </c>
      <c r="L19" s="99">
        <f t="shared" ca="1" si="6"/>
        <v>0</v>
      </c>
      <c r="M19" s="99">
        <f t="shared" ca="1" si="6"/>
        <v>3.9423514909241167E-40</v>
      </c>
      <c r="N19" s="99">
        <f t="shared" ca="1" si="6"/>
        <v>2.759644846319413E-39</v>
      </c>
      <c r="O19" s="99">
        <f t="shared" ca="1" si="6"/>
        <v>1.1038574595970063E-38</v>
      </c>
      <c r="P19" s="99">
        <f t="shared" ca="1" si="6"/>
        <v>3.311570941999428E-38</v>
      </c>
      <c r="Q19" s="99">
        <f t="shared" ca="1" si="6"/>
        <v>8.2789237630213064E-38</v>
      </c>
      <c r="R19" s="99">
        <f t="shared" ca="1" si="6"/>
        <v>1.8213624376300662E-37</v>
      </c>
      <c r="S19" s="99">
        <f t="shared" ca="1" si="6"/>
        <v>3.6427232947916438E-37</v>
      </c>
      <c r="T19" s="99">
        <f t="shared" ca="1" si="6"/>
        <v>6.7650546123158309E-37</v>
      </c>
      <c r="U19" s="99">
        <f t="shared" ca="1" si="6"/>
        <v>1.1838840435035017E-36</v>
      </c>
      <c r="V19" s="99">
        <f t="shared" ca="1" si="6"/>
        <v>1.9731392164199631E-36</v>
      </c>
      <c r="W19" s="99">
        <f t="shared" ca="1" si="6"/>
        <v>3.1570213765351978E-36</v>
      </c>
      <c r="X19" s="99">
        <f t="shared" ca="1" si="6"/>
        <v>4.8790309195986215E-36</v>
      </c>
      <c r="Y19" s="99">
        <f t="shared" ca="1" si="6"/>
        <v>7.3185432041021483E-36</v>
      </c>
      <c r="Z19" s="99">
        <f t="shared" ca="1" si="6"/>
        <v>1.0696327734411517E-35</v>
      </c>
      <c r="AA19" s="99">
        <f t="shared" ca="1" si="6"/>
        <v>1.5280461562284326E-35</v>
      </c>
      <c r="AB19" s="99">
        <f t="shared" ca="1" si="6"/>
        <v>2.1392636905577505E-35</v>
      </c>
      <c r="AC19" s="99">
        <f t="shared" ca="1" si="6"/>
        <v>2.9414862982946906E-35</v>
      </c>
      <c r="AD19" s="99">
        <f t="shared" ca="1" si="6"/>
        <v>3.9796562063341704E-35</v>
      </c>
      <c r="AE19" s="99">
        <f t="shared" ca="1" si="6"/>
        <v>5.3062059729096405E-35</v>
      </c>
      <c r="AF19" s="99">
        <f t="shared" ca="1" si="6"/>
        <v>6.981846935142306E-35</v>
      </c>
      <c r="AG19" s="99">
        <f t="shared" ca="1" si="6"/>
        <v>9.0763970777106457E-35</v>
      </c>
      <c r="AH19" s="99">
        <f t="shared" ca="1" si="6"/>
        <v>1.1669648322520508E-34</v>
      </c>
      <c r="AI19" s="99">
        <f t="shared" ca="1" si="6"/>
        <v>1.4852273239256036E-34</v>
      </c>
      <c r="AJ19" s="99">
        <f t="shared" ca="1" si="6"/>
        <v>1.8726771176691721E-34</v>
      </c>
      <c r="AK19" s="99">
        <f t="shared" ca="1" si="6"/>
        <v>2.3408453814645825E-34</v>
      </c>
      <c r="AL19" s="99">
        <f t="shared" ca="1" si="6"/>
        <v>2.902647013645549E-34</v>
      </c>
      <c r="AM19" s="99">
        <f t="shared" ca="1" si="6"/>
        <v>3.5724870821853747E-34</v>
      </c>
      <c r="AN19" s="99">
        <f t="shared" ca="1" si="6"/>
        <v>4.3663712060128734E-34</v>
      </c>
      <c r="AO19" s="99">
        <f t="shared" ca="1" si="6"/>
        <v>5.3020198783445435E-34</v>
      </c>
      <c r="AP19" s="99">
        <f t="shared" ca="1" si="6"/>
        <v>6.398986732021011E-34</v>
      </c>
      <c r="AQ19" s="99">
        <f t="shared" ca="1" si="6"/>
        <v>7.6787807468357802E-34</v>
      </c>
      <c r="AR19" s="99">
        <f t="shared" ca="1" si="6"/>
        <v>9.1649923988443109E-34</v>
      </c>
      <c r="AS19" s="99">
        <f t="shared" ca="1" si="6"/>
        <v>1.0883423751641457E-33</v>
      </c>
      <c r="AT19" s="99">
        <f t="shared" ca="1" si="6"/>
        <v>1.2862222489595284E-33</v>
      </c>
      <c r="AU19" s="99">
        <f t="shared" ca="1" si="6"/>
        <v>1.5132019893025303E-33</v>
      </c>
      <c r="AV19" s="99">
        <f t="shared" ca="1" si="6"/>
        <v>1.7726072755313144E-33</v>
      </c>
      <c r="AW19" s="99">
        <f t="shared" ca="1" si="6"/>
        <v>2.0680409241933704E-33</v>
      </c>
      <c r="AX19" s="99">
        <f t="shared" ca="1" si="6"/>
        <v>2.4033978691394768E-33</v>
      </c>
      <c r="AY19" s="99">
        <f t="shared" ca="1" si="6"/>
        <v>2.7828805358073182E-33</v>
      </c>
      <c r="AZ19" s="99">
        <f t="shared" ca="1" si="6"/>
        <v>3.2110146096935558E-33</v>
      </c>
      <c r="BA19" s="99">
        <f t="shared" ca="1" si="6"/>
        <v>3.6926651990131553E-33</v>
      </c>
      <c r="BB19" s="99">
        <f t="shared" ca="1" si="6"/>
        <v>4.2330533915447761E-33</v>
      </c>
      <c r="BC19" s="99">
        <f t="shared" ca="1" si="6"/>
        <v>4.8377732056610243E-33</v>
      </c>
      <c r="BD19" s="99">
        <f t="shared" ca="1" si="6"/>
        <v>5.5128089355423715E-33</v>
      </c>
      <c r="BE19" s="99">
        <f t="shared" ca="1" si="6"/>
        <v>6.2645528905735431E-33</v>
      </c>
      <c r="BF19" s="96">
        <f ca="1">EXP(Workings!$B$16*'PDE 2'!F19+Workings!$B$17*'PDE 2'!$BE$2)*BE19</f>
        <v>7.0267151930133171E-32</v>
      </c>
    </row>
    <row r="20" spans="1:58" x14ac:dyDescent="0.25">
      <c r="D20" s="86">
        <v>14</v>
      </c>
      <c r="E20" s="99">
        <f t="shared" si="3"/>
        <v>306.40319999999997</v>
      </c>
      <c r="F20" s="99">
        <f t="shared" si="1"/>
        <v>5.7249018816761295</v>
      </c>
      <c r="G20" s="64">
        <f>MAX(EXP($F20)-Workings!$B$7,0)*EXP(-Workings!$B$16*'PDE 2'!$F20)</f>
        <v>0</v>
      </c>
      <c r="H20" s="99">
        <f t="shared" ca="1" si="4"/>
        <v>0</v>
      </c>
      <c r="I20" s="99">
        <f t="shared" ca="1" si="6"/>
        <v>0</v>
      </c>
      <c r="J20" s="99">
        <f t="shared" ca="1" si="6"/>
        <v>0</v>
      </c>
      <c r="K20" s="99">
        <f t="shared" ca="1" si="6"/>
        <v>0</v>
      </c>
      <c r="L20" s="99">
        <f t="shared" ca="1" si="6"/>
        <v>1.2929298557658641E-33</v>
      </c>
      <c r="M20" s="99">
        <f t="shared" ca="1" si="6"/>
        <v>7.7575759963216733E-33</v>
      </c>
      <c r="N20" s="99">
        <f t="shared" ca="1" si="6"/>
        <v>2.7151505003173549E-32</v>
      </c>
      <c r="O20" s="99">
        <f t="shared" ca="1" si="6"/>
        <v>7.2403984051269919E-32</v>
      </c>
      <c r="P20" s="99">
        <f t="shared" ca="1" si="6"/>
        <v>1.6290889821170322E-31</v>
      </c>
      <c r="Q20" s="99">
        <f t="shared" ca="1" si="6"/>
        <v>3.2581766461615794E-31</v>
      </c>
      <c r="R20" s="99">
        <f t="shared" ca="1" si="6"/>
        <v>5.9733214348311009E-31</v>
      </c>
      <c r="S20" s="99">
        <f t="shared" ca="1" si="6"/>
        <v>1.0239975460057831E-30</v>
      </c>
      <c r="T20" s="99">
        <f t="shared" ca="1" si="6"/>
        <v>1.6639953391018649E-30</v>
      </c>
      <c r="U20" s="99">
        <f t="shared" ca="1" si="6"/>
        <v>2.5884361470249916E-30</v>
      </c>
      <c r="V20" s="99">
        <f t="shared" ca="1" si="6"/>
        <v>3.8826526498380016E-30</v>
      </c>
      <c r="W20" s="99">
        <f t="shared" ca="1" si="6"/>
        <v>5.6474924787479684E-30</v>
      </c>
      <c r="X20" s="99">
        <f t="shared" ca="1" si="6"/>
        <v>8.0006111083030089E-30</v>
      </c>
      <c r="Y20" s="99">
        <f t="shared" ca="1" si="6"/>
        <v>1.1077764745450887E-29</v>
      </c>
      <c r="Z20" s="99">
        <f t="shared" ca="1" si="6"/>
        <v>1.5034103215459399E-29</v>
      </c>
      <c r="AA20" s="99">
        <f t="shared" ca="1" si="6"/>
        <v>2.0045462844698564E-29</v>
      </c>
      <c r="AB20" s="99">
        <f t="shared" ca="1" si="6"/>
        <v>2.6309659340284604E-29</v>
      </c>
      <c r="AC20" s="99">
        <f t="shared" ca="1" si="6"/>
        <v>3.4047780666585741E-29</v>
      </c>
      <c r="AD20" s="99">
        <f t="shared" ca="1" si="6"/>
        <v>4.3505479918589803E-29</v>
      </c>
      <c r="AE20" s="99">
        <f t="shared" ca="1" si="6"/>
        <v>5.4954268192133655E-29</v>
      </c>
      <c r="AF20" s="99">
        <f t="shared" ca="1" si="6"/>
        <v>6.8692807450994401E-29</v>
      </c>
      <c r="AG20" s="99">
        <f t="shared" ca="1" si="6"/>
        <v>8.5048203390842511E-29</v>
      </c>
      <c r="AH20" s="99">
        <f t="shared" ca="1" si="6"/>
        <v>1.0437729830005665E-28</v>
      </c>
      <c r="AI20" s="99">
        <f t="shared" ca="1" si="6"/>
        <v>1.2706796391740047E-28</v>
      </c>
      <c r="AJ20" s="99">
        <f t="shared" ca="1" si="6"/>
        <v>1.5354039428656118E-28</v>
      </c>
      <c r="AK20" s="99">
        <f t="shared" ca="1" si="6"/>
        <v>1.8424839860754993E-28</v>
      </c>
      <c r="AL20" s="99">
        <f t="shared" ca="1" si="6"/>
        <v>2.1968069408496411E-28</v>
      </c>
      <c r="AM20" s="99">
        <f t="shared" ca="1" si="6"/>
        <v>2.603621987731115E-28</v>
      </c>
      <c r="AN20" s="99">
        <f t="shared" ca="1" si="6"/>
        <v>3.0685532441799614E-28</v>
      </c>
      <c r="AO20" s="99">
        <f t="shared" ca="1" si="6"/>
        <v>3.5976126929616643E-28</v>
      </c>
      <c r="AP20" s="99">
        <f t="shared" ca="1" si="6"/>
        <v>4.1972131105042457E-28</v>
      </c>
      <c r="AQ20" s="99">
        <f t="shared" ca="1" si="6"/>
        <v>4.8741809952239842E-28</v>
      </c>
      <c r="AR20" s="99">
        <f t="shared" ca="1" si="6"/>
        <v>5.6357694958197473E-28</v>
      </c>
      <c r="AS20" s="99">
        <f t="shared" ca="1" si="6"/>
        <v>6.4896713395359467E-28</v>
      </c>
      <c r="AT20" s="99">
        <f t="shared" ca="1" si="6"/>
        <v>7.4440317603941095E-28</v>
      </c>
      <c r="AU20" s="99">
        <f t="shared" ca="1" si="6"/>
        <v>8.5074614273930751E-28</v>
      </c>
      <c r="AV20" s="99">
        <f t="shared" ca="1" si="6"/>
        <v>9.6890493726777949E-28</v>
      </c>
      <c r="AW20" s="99">
        <f t="shared" ca="1" si="6"/>
        <v>1.0998375919676774E-27</v>
      </c>
      <c r="AX20" s="99">
        <f t="shared" ca="1" si="6"/>
        <v>1.2445525611208112E-27</v>
      </c>
      <c r="AY20" s="99">
        <f t="shared" ca="1" si="6"/>
        <v>1.4041100137554174E-27</v>
      </c>
      <c r="AZ20" s="99">
        <f t="shared" ca="1" si="6"/>
        <v>1.5796231264504875E-27</v>
      </c>
      <c r="BA20" s="99">
        <f t="shared" ca="1" si="6"/>
        <v>1.7722593761369591E-27</v>
      </c>
      <c r="BB20" s="99">
        <f t="shared" ca="1" si="6"/>
        <v>1.9832418328957682E-27</v>
      </c>
      <c r="BC20" s="99">
        <f t="shared" ca="1" si="6"/>
        <v>2.2138504527527629E-27</v>
      </c>
      <c r="BD20" s="99">
        <f t="shared" ca="1" si="6"/>
        <v>2.4654233704704819E-27</v>
      </c>
      <c r="BE20" s="99">
        <f t="shared" ca="1" si="6"/>
        <v>2.7393581923367905E-27</v>
      </c>
      <c r="BF20" s="96">
        <f ca="1">EXP(Workings!$B$16*'PDE 2'!F20+Workings!$B$17*'PDE 2'!$BE$2)*BE20</f>
        <v>3.1626262927352152E-26</v>
      </c>
    </row>
    <row r="21" spans="1:58" x14ac:dyDescent="0.25">
      <c r="D21" s="86">
        <v>15</v>
      </c>
      <c r="E21" s="99">
        <f t="shared" si="3"/>
        <v>326.40319999999997</v>
      </c>
      <c r="F21" s="99">
        <f t="shared" si="1"/>
        <v>5.7881334269634621</v>
      </c>
      <c r="G21" s="64">
        <f>MAX(EXP($F21)-Workings!$B$7,0)*EXP(-Workings!$B$16*'PDE 2'!$F21)</f>
        <v>0</v>
      </c>
      <c r="H21" s="99">
        <f t="shared" ca="1" si="4"/>
        <v>0</v>
      </c>
      <c r="I21" s="99">
        <f t="shared" ca="1" si="6"/>
        <v>0</v>
      </c>
      <c r="J21" s="99">
        <f t="shared" ca="1" si="6"/>
        <v>0</v>
      </c>
      <c r="K21" s="99">
        <f t="shared" ca="1" si="6"/>
        <v>4.2402804919327138E-27</v>
      </c>
      <c r="L21" s="99">
        <f t="shared" ca="1" si="6"/>
        <v>2.1201394753271243E-26</v>
      </c>
      <c r="M21" s="99">
        <f t="shared" ca="1" si="6"/>
        <v>6.3604161140646398E-26</v>
      </c>
      <c r="N21" s="99">
        <f t="shared" ca="1" si="6"/>
        <v>1.484096553834737E-25</v>
      </c>
      <c r="O21" s="99">
        <f t="shared" ca="1" si="6"/>
        <v>2.9681920287759002E-25</v>
      </c>
      <c r="P21" s="99">
        <f t="shared" ca="1" si="6"/>
        <v>5.3427437097889975E-25</v>
      </c>
      <c r="Q21" s="99">
        <f t="shared" ca="1" si="6"/>
        <v>8.9045696129703077E-25</v>
      </c>
      <c r="R21" s="99">
        <f t="shared" ca="1" si="6"/>
        <v>1.3992890019890005E-24</v>
      </c>
      <c r="S21" s="99">
        <f t="shared" ca="1" si="6"/>
        <v>2.0989327400528907E-24</v>
      </c>
      <c r="T21" s="99">
        <f t="shared" ca="1" si="6"/>
        <v>3.0317906336215315E-24</v>
      </c>
      <c r="U21" s="99">
        <f t="shared" ca="1" si="6"/>
        <v>4.2445053442561986E-24</v>
      </c>
      <c r="V21" s="99">
        <f t="shared" ca="1" si="6"/>
        <v>5.7879597292403142E-24</v>
      </c>
      <c r="W21" s="99">
        <f t="shared" ca="1" si="6"/>
        <v>7.7172768338731632E-24</v>
      </c>
      <c r="X21" s="99">
        <f t="shared" ca="1" si="6"/>
        <v>1.0091819883763615E-23</v>
      </c>
      <c r="Y21" s="99">
        <f t="shared" ca="1" si="6"/>
        <v>1.2975192277123859E-23</v>
      </c>
      <c r="Z21" s="99">
        <f t="shared" ca="1" si="6"/>
        <v>1.6435237577063146E-23</v>
      </c>
      <c r="AA21" s="99">
        <f t="shared" ca="1" si="6"/>
        <v>2.0544039503881538E-23</v>
      </c>
      <c r="AB21" s="99">
        <f t="shared" ca="1" si="6"/>
        <v>2.5377921927363675E-23</v>
      </c>
      <c r="AC21" s="99">
        <f t="shared" ca="1" si="6"/>
        <v>3.1017448859072551E-23</v>
      </c>
      <c r="AD21" s="99">
        <f t="shared" ca="1" si="6"/>
        <v>3.7547424444643272E-23</v>
      </c>
      <c r="AE21" s="99">
        <f t="shared" ca="1" si="6"/>
        <v>4.505689295607689E-23</v>
      </c>
      <c r="AF21" s="99">
        <f t="shared" ca="1" si="6"/>
        <v>5.3639138784034157E-23</v>
      </c>
      <c r="AG21" s="99">
        <f t="shared" ca="1" si="6"/>
        <v>6.3391686430129352E-23</v>
      </c>
      <c r="AH21" s="99">
        <f t="shared" ca="1" si="6"/>
        <v>7.4416300499224125E-23</v>
      </c>
      <c r="AI21" s="99">
        <f t="shared" ca="1" si="6"/>
        <v>8.6818985691721295E-23</v>
      </c>
      <c r="AJ21" s="99">
        <f t="shared" ca="1" si="6"/>
        <v>1.0070998679585872E-22</v>
      </c>
      <c r="AK21" s="99">
        <f t="shared" ca="1" si="6"/>
        <v>1.1620378868000312E-22</v>
      </c>
      <c r="AL21" s="99">
        <f t="shared" ca="1" si="6"/>
        <v>1.3341911628494391E-22</v>
      </c>
      <c r="AM21" s="99">
        <f t="shared" ca="1" si="6"/>
        <v>1.5247893461618714E-22</v>
      </c>
      <c r="AN21" s="99">
        <f t="shared" ca="1" si="6"/>
        <v>1.7351044873624931E-22</v>
      </c>
      <c r="AO21" s="99">
        <f t="shared" ca="1" si="6"/>
        <v>1.9664510375695133E-22</v>
      </c>
      <c r="AP21" s="99">
        <f t="shared" ca="1" si="6"/>
        <v>2.2201858483171229E-22</v>
      </c>
      <c r="AQ21" s="99">
        <f t="shared" ca="1" si="6"/>
        <v>2.4977081714784353E-22</v>
      </c>
      <c r="AR21" s="99">
        <f t="shared" ca="1" si="6"/>
        <v>2.8004596591884236E-22</v>
      </c>
      <c r="AS21" s="99">
        <f t="shared" ca="1" si="6"/>
        <v>3.1299243637668628E-22</v>
      </c>
      <c r="AT21" s="99">
        <f t="shared" ca="1" si="6"/>
        <v>3.4876287376412656E-22</v>
      </c>
      <c r="AU21" s="99">
        <f t="shared" ca="1" si="6"/>
        <v>3.8751416332698241E-22</v>
      </c>
      <c r="AV21" s="99">
        <f t="shared" ca="1" si="6"/>
        <v>4.2940743030643497E-22</v>
      </c>
      <c r="AW21" s="99">
        <f t="shared" ca="1" si="6"/>
        <v>4.7460803993132109E-22</v>
      </c>
      <c r="AX21" s="99">
        <f t="shared" ca="1" si="6"/>
        <v>5.2328559741042738E-22</v>
      </c>
      <c r="AY21" s="99">
        <f t="shared" ca="1" si="6"/>
        <v>5.7561394792478432E-22</v>
      </c>
      <c r="AZ21" s="99">
        <f t="shared" ca="1" si="6"/>
        <v>6.3177117661996026E-22</v>
      </c>
      <c r="BA21" s="99">
        <f t="shared" ca="1" si="6"/>
        <v>6.9193960859835496E-22</v>
      </c>
      <c r="BB21" s="99">
        <f t="shared" ca="1" si="6"/>
        <v>7.563058089114942E-22</v>
      </c>
      <c r="BC21" s="99">
        <f t="shared" ca="1" si="6"/>
        <v>8.2506058255232362E-22</v>
      </c>
      <c r="BD21" s="99">
        <f t="shared" ca="1" si="6"/>
        <v>8.9839897444750243E-22</v>
      </c>
      <c r="BE21" s="99">
        <f t="shared" ca="1" si="6"/>
        <v>9.7652026944969812E-22</v>
      </c>
      <c r="BF21" s="96">
        <f ca="1">EXP(Workings!$B$16*'PDE 2'!F21+Workings!$B$17*'PDE 2'!$BE$2)*BE21</f>
        <v>1.1583081096054759E-20</v>
      </c>
    </row>
    <row r="22" spans="1:58" x14ac:dyDescent="0.25">
      <c r="D22" s="86">
        <v>16</v>
      </c>
      <c r="E22" s="99">
        <f t="shared" si="3"/>
        <v>346.40319999999997</v>
      </c>
      <c r="F22" s="99">
        <f t="shared" si="1"/>
        <v>5.8476034145208997</v>
      </c>
      <c r="G22" s="64">
        <f>MAX(EXP($F22)-Workings!$B$7,0)*EXP(-Workings!$B$16*'PDE 2'!$F22)</f>
        <v>0</v>
      </c>
      <c r="H22" s="99">
        <f t="shared" ca="1" si="4"/>
        <v>0</v>
      </c>
      <c r="I22" s="99">
        <f t="shared" ca="1" si="6"/>
        <v>0</v>
      </c>
      <c r="J22" s="99">
        <f t="shared" ca="1" si="6"/>
        <v>1.3906383683602648E-20</v>
      </c>
      <c r="K22" s="99">
        <f t="shared" ca="1" si="6"/>
        <v>5.5625517941160395E-20</v>
      </c>
      <c r="L22" s="99">
        <f t="shared" ca="1" si="6"/>
        <v>1.3906375286979044E-19</v>
      </c>
      <c r="M22" s="99">
        <f t="shared" ca="1" si="6"/>
        <v>2.7812742177338973E-19</v>
      </c>
      <c r="N22" s="99">
        <f t="shared" ca="1" si="6"/>
        <v>4.8672284116264991E-19</v>
      </c>
      <c r="O22" s="99">
        <f t="shared" ca="1" si="6"/>
        <v>7.7875631075507193E-19</v>
      </c>
      <c r="P22" s="99">
        <f t="shared" ca="1" si="6"/>
        <v>1.1681341134749818E-18</v>
      </c>
      <c r="Q22" s="99">
        <f t="shared" ca="1" si="6"/>
        <v>1.6687625154535449E-18</v>
      </c>
      <c r="R22" s="99">
        <f t="shared" ca="1" si="6"/>
        <v>2.2945477660287809E-18</v>
      </c>
      <c r="S22" s="99">
        <f t="shared" ca="1" si="6"/>
        <v>3.0593960977455789E-18</v>
      </c>
      <c r="T22" s="99">
        <f t="shared" ca="1" si="6"/>
        <v>3.977213726355713E-18</v>
      </c>
      <c r="U22" s="99">
        <f t="shared" ca="1" si="6"/>
        <v>5.0619068508178552E-18</v>
      </c>
      <c r="V22" s="99">
        <f t="shared" ca="1" si="6"/>
        <v>6.3273816532975938E-18</v>
      </c>
      <c r="W22" s="99">
        <f t="shared" ca="1" si="6"/>
        <v>7.7875442991674445E-18</v>
      </c>
      <c r="X22" s="99">
        <f t="shared" ca="1" si="6"/>
        <v>9.4563009370068673E-18</v>
      </c>
      <c r="Y22" s="99">
        <f t="shared" ca="1" si="6"/>
        <v>1.1347557698602284E-17</v>
      </c>
      <c r="Z22" s="99">
        <f t="shared" ca="1" si="6"/>
        <v>1.3475220698947088E-17</v>
      </c>
      <c r="AA22" s="99">
        <f t="shared" ca="1" si="6"/>
        <v>1.5853196036241663E-17</v>
      </c>
      <c r="AB22" s="99">
        <f t="shared" ca="1" si="6"/>
        <v>1.8495389791893393E-17</v>
      </c>
      <c r="AC22" s="99">
        <f t="shared" ca="1" si="6"/>
        <v>2.1415708030516685E-17</v>
      </c>
      <c r="AD22" s="99">
        <f t="shared" ca="1" si="6"/>
        <v>2.462805679993298E-17</v>
      </c>
      <c r="AE22" s="99">
        <f t="shared" ca="1" si="6"/>
        <v>2.8146342131170763E-17</v>
      </c>
      <c r="AF22" s="99">
        <f t="shared" ca="1" si="6"/>
        <v>3.1984470038465591E-17</v>
      </c>
      <c r="AG22" s="99">
        <f t="shared" ca="1" si="6"/>
        <v>3.6156346519260103E-17</v>
      </c>
      <c r="AH22" s="99">
        <f t="shared" ca="1" si="6"/>
        <v>4.0675877554204006E-17</v>
      </c>
      <c r="AI22" s="99">
        <f t="shared" ca="1" si="6"/>
        <v>4.5556969107154148E-17</v>
      </c>
      <c r="AJ22" s="99">
        <f t="shared" ca="1" si="6"/>
        <v>5.0813527125174479E-17</v>
      </c>
      <c r="AK22" s="99">
        <f t="shared" ca="1" si="6"/>
        <v>5.645945753853611E-17</v>
      </c>
      <c r="AL22" s="99">
        <f t="shared" ca="1" si="6"/>
        <v>6.2508666260717277E-17</v>
      </c>
      <c r="AM22" s="99">
        <f t="shared" ca="1" si="6"/>
        <v>6.8975059188403387E-17</v>
      </c>
      <c r="AN22" s="99">
        <f t="shared" ca="1" si="6"/>
        <v>7.5872542201487058E-17</v>
      </c>
      <c r="AO22" s="99">
        <f t="shared" ca="1" si="6"/>
        <v>8.3215021163068079E-17</v>
      </c>
      <c r="AP22" s="99">
        <f t="shared" ca="1" si="6"/>
        <v>9.1016401919453488E-17</v>
      </c>
      <c r="AQ22" s="99">
        <f t="shared" ca="1" si="6"/>
        <v>9.9290590300157506E-17</v>
      </c>
      <c r="AR22" s="99">
        <f t="shared" ca="1" si="6"/>
        <v>1.0805149211790163E-16</v>
      </c>
      <c r="AS22" s="99">
        <f t="shared" ca="1" si="6"/>
        <v>1.1731301316861459E-16</v>
      </c>
      <c r="AT22" s="99">
        <f t="shared" ca="1" si="6"/>
        <v>1.270890592314324E-16</v>
      </c>
      <c r="AU22" s="99">
        <f t="shared" ca="1" si="6"/>
        <v>1.3739353606869837E-16</v>
      </c>
      <c r="AV22" s="99">
        <f t="shared" ca="1" si="6"/>
        <v>1.4824034942596311E-16</v>
      </c>
      <c r="AW22" s="99">
        <f t="shared" ca="1" si="6"/>
        <v>1.5964340503198456E-16</v>
      </c>
      <c r="AX22" s="99">
        <f t="shared" ca="1" si="6"/>
        <v>1.7161660859872794E-16</v>
      </c>
      <c r="AY22" s="99">
        <f t="shared" ca="1" si="6"/>
        <v>1.8417386582136591E-16</v>
      </c>
      <c r="AZ22" s="99">
        <f t="shared" ca="1" si="6"/>
        <v>1.973290823782784E-16</v>
      </c>
      <c r="BA22" s="99">
        <f t="shared" ca="1" si="6"/>
        <v>2.1109616393105277E-16</v>
      </c>
      <c r="BB22" s="99">
        <f t="shared" ref="I22:BE28" ca="1" si="7">$E$3*(BA21)+(1-2*$E$3)*BA22+$E$3*BA23</f>
        <v>2.2548901612448377E-16</v>
      </c>
      <c r="BC22" s="99">
        <f t="shared" ca="1" si="7"/>
        <v>2.4052154458657351E-16</v>
      </c>
      <c r="BD22" s="99">
        <f t="shared" ca="1" si="7"/>
        <v>2.5620765492853162E-16</v>
      </c>
      <c r="BE22" s="99">
        <f t="shared" ca="1" si="7"/>
        <v>2.7256125274477502E-16</v>
      </c>
      <c r="BF22" s="96">
        <f ca="1">EXP(Workings!$B$16*'PDE 2'!F22+Workings!$B$17*'PDE 2'!$BE$2)*BE22</f>
        <v>3.3162870179215359E-15</v>
      </c>
    </row>
    <row r="23" spans="1:58" x14ac:dyDescent="0.25">
      <c r="A23" s="99" t="s">
        <v>125</v>
      </c>
      <c r="B23" s="99" t="s">
        <v>123</v>
      </c>
      <c r="C23" s="99" t="s">
        <v>124</v>
      </c>
      <c r="D23" s="86">
        <v>17</v>
      </c>
      <c r="E23" s="99">
        <f t="shared" si="3"/>
        <v>366.40319999999997</v>
      </c>
      <c r="F23" s="99">
        <f t="shared" si="1"/>
        <v>5.9037343663862911</v>
      </c>
      <c r="G23" s="64">
        <f>MAX(EXP($F23)-Workings!$B$7,0)*EXP(-Workings!$B$16*'PDE 2'!$F23)</f>
        <v>0</v>
      </c>
      <c r="H23" s="99">
        <f t="shared" ca="1" si="4"/>
        <v>0</v>
      </c>
      <c r="I23" s="99">
        <f t="shared" ca="1" si="7"/>
        <v>4.5607244031024989E-14</v>
      </c>
      <c r="J23" s="99">
        <f t="shared" ca="1" si="7"/>
        <v>1.3682170483085826E-13</v>
      </c>
      <c r="K23" s="99">
        <f t="shared" ca="1" si="7"/>
        <v>2.7364335513729435E-13</v>
      </c>
      <c r="L23" s="99">
        <f t="shared" ca="1" si="7"/>
        <v>4.5607216768813903E-13</v>
      </c>
      <c r="M23" s="99">
        <f t="shared" ca="1" si="7"/>
        <v>6.8410811522120916E-13</v>
      </c>
      <c r="N23" s="99">
        <f t="shared" ca="1" si="7"/>
        <v>9.5775117047433281E-13</v>
      </c>
      <c r="O23" s="99">
        <f t="shared" ca="1" si="7"/>
        <v>1.2770013061853497E-12</v>
      </c>
      <c r="P23" s="99">
        <f t="shared" ca="1" si="7"/>
        <v>1.64185849509211E-12</v>
      </c>
      <c r="Q23" s="99">
        <f t="shared" ca="1" si="7"/>
        <v>2.052322709932476E-12</v>
      </c>
      <c r="R23" s="99">
        <f t="shared" ca="1" si="7"/>
        <v>2.5083939234443207E-12</v>
      </c>
      <c r="S23" s="99">
        <f t="shared" ca="1" si="7"/>
        <v>3.0100721083655279E-12</v>
      </c>
      <c r="T23" s="99">
        <f t="shared" ca="1" si="7"/>
        <v>3.5573572374339933E-12</v>
      </c>
      <c r="U23" s="99">
        <f t="shared" ca="1" si="7"/>
        <v>4.1502492833876235E-12</v>
      </c>
      <c r="V23" s="99">
        <f t="shared" ca="1" si="7"/>
        <v>4.7887482189643369E-12</v>
      </c>
      <c r="W23" s="99">
        <f t="shared" ca="1" si="7"/>
        <v>5.4728540169020613E-12</v>
      </c>
      <c r="X23" s="99">
        <f t="shared" ca="1" si="7"/>
        <v>6.2025666499387389E-12</v>
      </c>
      <c r="Y23" s="99">
        <f t="shared" ca="1" si="7"/>
        <v>6.9778860908123192E-12</v>
      </c>
      <c r="Z23" s="99">
        <f t="shared" ca="1" si="7"/>
        <v>7.798812312260766E-12</v>
      </c>
      <c r="AA23" s="99">
        <f t="shared" ca="1" si="7"/>
        <v>8.6653452870220521E-12</v>
      </c>
      <c r="AB23" s="99">
        <f t="shared" ca="1" si="7"/>
        <v>9.577484987834165E-12</v>
      </c>
      <c r="AC23" s="99">
        <f t="shared" ca="1" si="7"/>
        <v>1.0535231387435101E-11</v>
      </c>
      <c r="AD23" s="99">
        <f t="shared" ca="1" si="7"/>
        <v>1.1538584458562865E-11</v>
      </c>
      <c r="AE23" s="99">
        <f t="shared" ca="1" si="7"/>
        <v>1.2587544173955478E-11</v>
      </c>
      <c r="AF23" s="99">
        <f t="shared" ca="1" si="7"/>
        <v>1.368211050635097E-11</v>
      </c>
      <c r="AG23" s="99">
        <f t="shared" ca="1" si="7"/>
        <v>1.4822283428487383E-11</v>
      </c>
      <c r="AH23" s="99">
        <f t="shared" ca="1" si="7"/>
        <v>1.6008062913102765E-11</v>
      </c>
      <c r="AI23" s="99">
        <f t="shared" ca="1" si="7"/>
        <v>1.7239448932935183E-11</v>
      </c>
      <c r="AJ23" s="99">
        <f t="shared" ca="1" si="7"/>
        <v>1.8516441460722713E-11</v>
      </c>
      <c r="AK23" s="99">
        <f t="shared" ca="1" si="7"/>
        <v>1.983904046920344E-11</v>
      </c>
      <c r="AL23" s="99">
        <f t="shared" ca="1" si="7"/>
        <v>2.1207245931115465E-11</v>
      </c>
      <c r="AM23" s="99">
        <f t="shared" ca="1" si="7"/>
        <v>2.2621057819196889E-11</v>
      </c>
      <c r="AN23" s="99">
        <f t="shared" ca="1" si="7"/>
        <v>2.408047610618584E-11</v>
      </c>
      <c r="AO23" s="99">
        <f t="shared" ca="1" si="7"/>
        <v>2.5585500764820441E-11</v>
      </c>
      <c r="AP23" s="99">
        <f t="shared" ca="1" si="7"/>
        <v>2.7136131767838842E-11</v>
      </c>
      <c r="AQ23" s="99">
        <f t="shared" ca="1" si="7"/>
        <v>2.873236908797919E-11</v>
      </c>
      <c r="AR23" s="99">
        <f t="shared" ca="1" si="7"/>
        <v>3.037421269797965E-11</v>
      </c>
      <c r="AS23" s="99">
        <f t="shared" ca="1" si="7"/>
        <v>3.2061662570578394E-11</v>
      </c>
      <c r="AT23" s="99">
        <f t="shared" ca="1" si="7"/>
        <v>3.3794718678513622E-11</v>
      </c>
      <c r="AU23" s="99">
        <f t="shared" ca="1" si="7"/>
        <v>3.5573380994523534E-11</v>
      </c>
      <c r="AV23" s="99">
        <f t="shared" ca="1" si="7"/>
        <v>3.7397649491346326E-11</v>
      </c>
      <c r="AW23" s="99">
        <f t="shared" ca="1" si="7"/>
        <v>3.9267524141720217E-11</v>
      </c>
      <c r="AX23" s="99">
        <f t="shared" ca="1" si="7"/>
        <v>4.1183004918383449E-11</v>
      </c>
      <c r="AY23" s="99">
        <f t="shared" ca="1" si="7"/>
        <v>4.3144091794074255E-11</v>
      </c>
      <c r="AZ23" s="99">
        <f t="shared" ca="1" si="7"/>
        <v>4.5150784741530901E-11</v>
      </c>
      <c r="BA23" s="99">
        <f t="shared" ca="1" si="7"/>
        <v>4.7203083733491647E-11</v>
      </c>
      <c r="BB23" s="99">
        <f t="shared" ca="1" si="7"/>
        <v>4.9300988742694765E-11</v>
      </c>
      <c r="BC23" s="99">
        <f t="shared" ca="1" si="7"/>
        <v>5.1444499741878554E-11</v>
      </c>
      <c r="BD23" s="99">
        <f t="shared" ca="1" si="7"/>
        <v>5.3633616703781311E-11</v>
      </c>
      <c r="BE23" s="99">
        <f t="shared" ca="1" si="7"/>
        <v>5.5868339601141342E-11</v>
      </c>
      <c r="BF23" s="96">
        <f ca="1">EXP(Workings!$B$16*'PDE 2'!F23+Workings!$B$17*'PDE 2'!$BE$2)*BE23</f>
        <v>6.9627174263783918E-10</v>
      </c>
    </row>
    <row r="24" spans="1:58" x14ac:dyDescent="0.25">
      <c r="A24" s="104">
        <f ca="1">(B24-C24)/E24</f>
        <v>-2.467554144245137E-7</v>
      </c>
      <c r="B24" s="99" cm="1">
        <f t="array" ref="B24">black76(1,Workings!$B$7,E24*Workings!$B$20,Workings!$B$5,Workings!$B$1,Workings!$B$1+2/365,Workings!$B$8)</f>
        <v>1.8007271341168012E-204</v>
      </c>
      <c r="C24" s="99">
        <f t="shared" ref="C24:C30" ca="1" si="8">BF24</f>
        <v>9.5347081750958251E-5</v>
      </c>
      <c r="D24" s="86">
        <v>18</v>
      </c>
      <c r="E24" s="99">
        <f t="shared" si="3"/>
        <v>386.40319999999997</v>
      </c>
      <c r="F24" s="99">
        <f t="shared" si="1"/>
        <v>5.9568813838775698</v>
      </c>
      <c r="G24" s="64">
        <f>MAX(EXP($F24)-Workings!$B$7,0)*EXP(-Workings!$B$16*'PDE 2'!$F24)</f>
        <v>0</v>
      </c>
      <c r="H24" s="99">
        <f t="shared" ca="1" si="4"/>
        <v>1.4957308495364377E-7</v>
      </c>
      <c r="I24" s="99">
        <f t="shared" ca="1" si="7"/>
        <v>2.9914617171286828E-7</v>
      </c>
      <c r="J24" s="99">
        <f t="shared" ca="1" si="7"/>
        <v>4.4871926027764197E-7</v>
      </c>
      <c r="K24" s="99">
        <f t="shared" ca="1" si="7"/>
        <v>5.9829235064793303E-7</v>
      </c>
      <c r="L24" s="99">
        <f t="shared" ca="1" si="7"/>
        <v>7.4786544282370997E-7</v>
      </c>
      <c r="M24" s="99">
        <f t="shared" ca="1" si="7"/>
        <v>8.9743853680494103E-7</v>
      </c>
      <c r="N24" s="99">
        <f t="shared" ca="1" si="7"/>
        <v>1.0470116325915946E-6</v>
      </c>
      <c r="O24" s="99">
        <f t="shared" ca="1" si="7"/>
        <v>1.1965847301836391E-6</v>
      </c>
      <c r="P24" s="99">
        <f t="shared" ca="1" si="7"/>
        <v>1.3461578295810429E-6</v>
      </c>
      <c r="Q24" s="99">
        <f t="shared" ca="1" si="7"/>
        <v>1.4957309307837743E-6</v>
      </c>
      <c r="R24" s="99">
        <f t="shared" ca="1" si="7"/>
        <v>1.6453040337918016E-6</v>
      </c>
      <c r="S24" s="99">
        <f t="shared" ca="1" si="7"/>
        <v>1.7948771386050933E-6</v>
      </c>
      <c r="T24" s="99">
        <f t="shared" ca="1" si="7"/>
        <v>1.9444502452236176E-6</v>
      </c>
      <c r="U24" s="99">
        <f t="shared" ca="1" si="7"/>
        <v>2.0940233536473425E-6</v>
      </c>
      <c r="V24" s="99">
        <f t="shared" ca="1" si="7"/>
        <v>2.2435964638762369E-6</v>
      </c>
      <c r="W24" s="99">
        <f t="shared" ca="1" si="7"/>
        <v>2.3931695759102691E-6</v>
      </c>
      <c r="X24" s="99">
        <f t="shared" ca="1" si="7"/>
        <v>2.5427426897494073E-6</v>
      </c>
      <c r="Y24" s="99">
        <f t="shared" ca="1" si="7"/>
        <v>2.6923158053936201E-6</v>
      </c>
      <c r="Z24" s="99">
        <f t="shared" ca="1" si="7"/>
        <v>2.8418889228428754E-6</v>
      </c>
      <c r="AA24" s="99">
        <f t="shared" ca="1" si="7"/>
        <v>2.9914620420971422E-6</v>
      </c>
      <c r="AB24" s="99">
        <f t="shared" ca="1" si="7"/>
        <v>3.1410351631563884E-6</v>
      </c>
      <c r="AC24" s="99">
        <f t="shared" ca="1" si="7"/>
        <v>3.2906082860205817E-6</v>
      </c>
      <c r="AD24" s="99">
        <f t="shared" ca="1" si="7"/>
        <v>3.4401814106896917E-6</v>
      </c>
      <c r="AE24" s="99">
        <f t="shared" ca="1" si="7"/>
        <v>3.5897545371636858E-6</v>
      </c>
      <c r="AF24" s="99">
        <f t="shared" ca="1" si="7"/>
        <v>3.7393276654425334E-6</v>
      </c>
      <c r="AG24" s="99">
        <f t="shared" ca="1" si="7"/>
        <v>3.888900795526202E-6</v>
      </c>
      <c r="AH24" s="99">
        <f t="shared" ca="1" si="7"/>
        <v>4.0384739274146602E-6</v>
      </c>
      <c r="AI24" s="99">
        <f t="shared" ca="1" si="7"/>
        <v>4.1880470611078772E-6</v>
      </c>
      <c r="AJ24" s="99">
        <f t="shared" ca="1" si="7"/>
        <v>4.3376201966058198E-6</v>
      </c>
      <c r="AK24" s="99">
        <f t="shared" ca="1" si="7"/>
        <v>4.4871933339084575E-6</v>
      </c>
      <c r="AL24" s="99">
        <f t="shared" ca="1" si="7"/>
        <v>4.6367664730157583E-6</v>
      </c>
      <c r="AM24" s="99">
        <f t="shared" ca="1" si="7"/>
        <v>4.7863396139276889E-6</v>
      </c>
      <c r="AN24" s="99">
        <f t="shared" ca="1" si="7"/>
        <v>4.93591275664422E-6</v>
      </c>
      <c r="AO24" s="99">
        <f t="shared" ca="1" si="7"/>
        <v>5.0854859011653199E-6</v>
      </c>
      <c r="AP24" s="99">
        <f t="shared" ca="1" si="7"/>
        <v>5.2350590474909558E-6</v>
      </c>
      <c r="AQ24" s="99">
        <f t="shared" ca="1" si="7"/>
        <v>5.3846321956210963E-6</v>
      </c>
      <c r="AR24" s="99">
        <f t="shared" ca="1" si="7"/>
        <v>5.5342053455557092E-6</v>
      </c>
      <c r="AS24" s="99">
        <f t="shared" ca="1" si="7"/>
        <v>5.683778497294764E-6</v>
      </c>
      <c r="AT24" s="99">
        <f t="shared" ca="1" si="7"/>
        <v>5.8333516508382294E-6</v>
      </c>
      <c r="AU24" s="99">
        <f t="shared" ca="1" si="7"/>
        <v>5.9829248061860715E-6</v>
      </c>
      <c r="AV24" s="99">
        <f t="shared" ca="1" si="7"/>
        <v>6.1324979633382606E-6</v>
      </c>
      <c r="AW24" s="99">
        <f t="shared" ca="1" si="7"/>
        <v>6.2820711222947645E-6</v>
      </c>
      <c r="AX24" s="99">
        <f t="shared" ca="1" si="7"/>
        <v>6.431644283055552E-6</v>
      </c>
      <c r="AY24" s="99">
        <f t="shared" ca="1" si="7"/>
        <v>6.58121744562059E-6</v>
      </c>
      <c r="AZ24" s="99">
        <f t="shared" ca="1" si="7"/>
        <v>6.7307906099898488E-6</v>
      </c>
      <c r="BA24" s="99">
        <f t="shared" ca="1" si="7"/>
        <v>6.8803637761632954E-6</v>
      </c>
      <c r="BB24" s="99">
        <f t="shared" ca="1" si="7"/>
        <v>7.0299369441408993E-6</v>
      </c>
      <c r="BC24" s="99">
        <f t="shared" ca="1" si="7"/>
        <v>7.1795101139226274E-6</v>
      </c>
      <c r="BD24" s="99">
        <f t="shared" ca="1" si="7"/>
        <v>7.3290832855084494E-6</v>
      </c>
      <c r="BE24" s="99">
        <f t="shared" ca="1" si="7"/>
        <v>7.478656458898333E-6</v>
      </c>
      <c r="BF24" s="96">
        <f ca="1">EXP(Workings!$B$16*'PDE 2'!F24+Workings!$B$17*'PDE 2'!$BE$2)*BE24</f>
        <v>9.5347081750958251E-5</v>
      </c>
    </row>
    <row r="25" spans="1:58" x14ac:dyDescent="0.25">
      <c r="A25" s="104">
        <f t="shared" ref="A25:A56" ca="1" si="9">(B25-C25)/E25</f>
        <v>8.9907987290574183E-4</v>
      </c>
      <c r="B25" s="99" cm="1">
        <f t="array" ref="B25">black76(1,Workings!$B$7,E25*Workings!$B$20,Workings!$B$5,Workings!$B$1,Workings!$B$1+2/365,Workings!$B$8)</f>
        <v>6.7560086995373432</v>
      </c>
      <c r="C25" s="99">
        <f t="shared" ca="1" si="8"/>
        <v>6.3906197621328564</v>
      </c>
      <c r="D25" s="86">
        <v>19</v>
      </c>
      <c r="E25" s="99">
        <f t="shared" si="3"/>
        <v>406.40319999999997</v>
      </c>
      <c r="F25" s="99">
        <f t="shared" si="1"/>
        <v>6.0073457702490201</v>
      </c>
      <c r="G25" s="64">
        <f>MAX(EXP($F25)-Workings!$B$7,0)*EXP(-Workings!$B$16*'PDE 2'!$F25)</f>
        <v>0.49053847075984214</v>
      </c>
      <c r="H25" s="99">
        <f t="shared" ca="1" si="4"/>
        <v>0.4905387758275776</v>
      </c>
      <c r="I25" s="99">
        <f t="shared" ca="1" si="7"/>
        <v>0.49053908089516735</v>
      </c>
      <c r="J25" s="99">
        <f t="shared" ca="1" si="7"/>
        <v>0.49053938596261126</v>
      </c>
      <c r="K25" s="99">
        <f t="shared" ca="1" si="7"/>
        <v>0.49053969102990941</v>
      </c>
      <c r="L25" s="99">
        <f t="shared" ca="1" si="7"/>
        <v>0.49053999609706173</v>
      </c>
      <c r="M25" s="99">
        <f t="shared" ca="1" si="7"/>
        <v>0.49054030116406827</v>
      </c>
      <c r="N25" s="99">
        <f t="shared" ca="1" si="7"/>
        <v>0.49054060623092904</v>
      </c>
      <c r="O25" s="99">
        <f t="shared" ca="1" si="7"/>
        <v>0.49054091129764404</v>
      </c>
      <c r="P25" s="99">
        <f t="shared" ca="1" si="7"/>
        <v>0.49054121636421322</v>
      </c>
      <c r="Q25" s="99">
        <f t="shared" ca="1" si="7"/>
        <v>0.49054152143063662</v>
      </c>
      <c r="R25" s="99">
        <f t="shared" ca="1" si="7"/>
        <v>0.49054182649691419</v>
      </c>
      <c r="S25" s="99">
        <f t="shared" ca="1" si="7"/>
        <v>0.49054213156304599</v>
      </c>
      <c r="T25" s="99">
        <f t="shared" ca="1" si="7"/>
        <v>0.49054243662903202</v>
      </c>
      <c r="U25" s="99">
        <f t="shared" ca="1" si="7"/>
        <v>0.49054274169487228</v>
      </c>
      <c r="V25" s="99">
        <f t="shared" ca="1" si="7"/>
        <v>0.4905430467605667</v>
      </c>
      <c r="W25" s="99">
        <f t="shared" ca="1" si="7"/>
        <v>0.49054335182611536</v>
      </c>
      <c r="X25" s="99">
        <f t="shared" ca="1" si="7"/>
        <v>0.49054365689151819</v>
      </c>
      <c r="Y25" s="99">
        <f t="shared" ca="1" si="7"/>
        <v>0.4905439619567753</v>
      </c>
      <c r="Z25" s="99">
        <f t="shared" ca="1" si="7"/>
        <v>0.49054426702188658</v>
      </c>
      <c r="AA25" s="99">
        <f t="shared" ca="1" si="7"/>
        <v>0.49054457208685209</v>
      </c>
      <c r="AB25" s="99">
        <f t="shared" ca="1" si="7"/>
        <v>0.49054487715167183</v>
      </c>
      <c r="AC25" s="99">
        <f t="shared" ca="1" si="7"/>
        <v>0.49054518221634574</v>
      </c>
      <c r="AD25" s="99">
        <f t="shared" ca="1" si="7"/>
        <v>0.49054548728087388</v>
      </c>
      <c r="AE25" s="99">
        <f t="shared" ca="1" si="7"/>
        <v>0.49054579234525625</v>
      </c>
      <c r="AF25" s="99">
        <f t="shared" ca="1" si="7"/>
        <v>0.49054609740949279</v>
      </c>
      <c r="AG25" s="99">
        <f t="shared" ca="1" si="7"/>
        <v>0.49054640247358361</v>
      </c>
      <c r="AH25" s="99">
        <f t="shared" ca="1" si="7"/>
        <v>0.49054670753752855</v>
      </c>
      <c r="AI25" s="99">
        <f t="shared" ca="1" si="7"/>
        <v>0.49054701260132777</v>
      </c>
      <c r="AJ25" s="99">
        <f t="shared" ca="1" si="7"/>
        <v>0.49054731766498116</v>
      </c>
      <c r="AK25" s="99">
        <f t="shared" ca="1" si="7"/>
        <v>0.49054762272848879</v>
      </c>
      <c r="AL25" s="99">
        <f t="shared" ca="1" si="7"/>
        <v>0.49054792779185064</v>
      </c>
      <c r="AM25" s="99">
        <f t="shared" ca="1" si="7"/>
        <v>0.49054823285506671</v>
      </c>
      <c r="AN25" s="99">
        <f t="shared" ca="1" si="7"/>
        <v>0.49054853791813696</v>
      </c>
      <c r="AO25" s="99">
        <f t="shared" ca="1" si="7"/>
        <v>0.49054884298106144</v>
      </c>
      <c r="AP25" s="99">
        <f t="shared" ca="1" si="7"/>
        <v>0.49054914804384014</v>
      </c>
      <c r="AQ25" s="99">
        <f t="shared" ca="1" si="7"/>
        <v>0.49054945310647308</v>
      </c>
      <c r="AR25" s="99">
        <f t="shared" ca="1" si="7"/>
        <v>0.49054975816896018</v>
      </c>
      <c r="AS25" s="99">
        <f t="shared" ca="1" si="7"/>
        <v>0.49055006323130157</v>
      </c>
      <c r="AT25" s="99">
        <f t="shared" ca="1" si="7"/>
        <v>0.49055036829349707</v>
      </c>
      <c r="AU25" s="99">
        <f t="shared" ca="1" si="7"/>
        <v>0.49055067335554686</v>
      </c>
      <c r="AV25" s="99">
        <f t="shared" ca="1" si="7"/>
        <v>0.49055097841745082</v>
      </c>
      <c r="AW25" s="99">
        <f t="shared" ca="1" si="7"/>
        <v>0.49055128347920901</v>
      </c>
      <c r="AX25" s="99">
        <f t="shared" ca="1" si="7"/>
        <v>0.49055158854082143</v>
      </c>
      <c r="AY25" s="99">
        <f t="shared" ca="1" si="7"/>
        <v>0.49055189360228807</v>
      </c>
      <c r="AZ25" s="99">
        <f t="shared" ca="1" si="7"/>
        <v>0.49055219866360888</v>
      </c>
      <c r="BA25" s="99">
        <f t="shared" ca="1" si="7"/>
        <v>0.49055250372478393</v>
      </c>
      <c r="BB25" s="99">
        <f t="shared" ca="1" si="7"/>
        <v>0.4905528087858132</v>
      </c>
      <c r="BC25" s="99">
        <f t="shared" ca="1" si="7"/>
        <v>0.4905531138466967</v>
      </c>
      <c r="BD25" s="99">
        <f t="shared" ca="1" si="7"/>
        <v>0.49055341890743437</v>
      </c>
      <c r="BE25" s="99">
        <f t="shared" ca="1" si="7"/>
        <v>0.49055372396802632</v>
      </c>
      <c r="BF25" s="96">
        <f ca="1">EXP(Workings!$B$16*'PDE 2'!F25+Workings!$B$17*'PDE 2'!$BE$2)*BE25</f>
        <v>6.3906197621328564</v>
      </c>
    </row>
    <row r="26" spans="1:58" x14ac:dyDescent="0.25">
      <c r="A26" s="104">
        <f t="shared" ca="1" si="9"/>
        <v>9.5100970113060491E-4</v>
      </c>
      <c r="B26" s="99" cm="1">
        <f t="array" ref="B26">black76(1,Workings!$B$7,E26*Workings!$B$20,Workings!$B$5,Workings!$B$1,Workings!$B$1+2/365,Workings!$B$8)</f>
        <v>26.756008699537343</v>
      </c>
      <c r="C26" s="99">
        <f t="shared" ca="1" si="8"/>
        <v>26.35049511974421</v>
      </c>
      <c r="D26" s="86">
        <v>20</v>
      </c>
      <c r="E26" s="99">
        <f t="shared" si="3"/>
        <v>426.40319999999997</v>
      </c>
      <c r="F26" s="99">
        <f t="shared" si="1"/>
        <v>6.0553853775139066</v>
      </c>
      <c r="G26" s="64">
        <f>MAX(EXP($F26)-Workings!$B$7,0)*EXP(-Workings!$B$16*'PDE 2'!$F26)</f>
        <v>1.981574193457782</v>
      </c>
      <c r="H26" s="99">
        <f t="shared" ca="1" si="4"/>
        <v>1.9815741758863314</v>
      </c>
      <c r="I26" s="99">
        <f t="shared" ca="1" si="7"/>
        <v>1.9815741583149797</v>
      </c>
      <c r="J26" s="99">
        <f t="shared" ca="1" si="7"/>
        <v>1.9815741407437268</v>
      </c>
      <c r="K26" s="99">
        <f t="shared" ca="1" si="7"/>
        <v>1.9815741231725728</v>
      </c>
      <c r="L26" s="99">
        <f t="shared" ca="1" si="7"/>
        <v>1.9815741056015175</v>
      </c>
      <c r="M26" s="99">
        <f t="shared" ca="1" si="7"/>
        <v>1.9815740880305612</v>
      </c>
      <c r="N26" s="99">
        <f t="shared" ca="1" si="7"/>
        <v>1.9815740704597038</v>
      </c>
      <c r="O26" s="99">
        <f t="shared" ca="1" si="7"/>
        <v>1.9815740528889454</v>
      </c>
      <c r="P26" s="99">
        <f t="shared" ca="1" si="7"/>
        <v>1.9815740353182858</v>
      </c>
      <c r="Q26" s="99">
        <f t="shared" ca="1" si="7"/>
        <v>1.981574017747725</v>
      </c>
      <c r="R26" s="99">
        <f t="shared" ca="1" si="7"/>
        <v>1.9815740001772633</v>
      </c>
      <c r="S26" s="99">
        <f t="shared" ca="1" si="7"/>
        <v>1.9815739826069003</v>
      </c>
      <c r="T26" s="99">
        <f t="shared" ca="1" si="7"/>
        <v>1.9815739650366362</v>
      </c>
      <c r="U26" s="99">
        <f t="shared" ca="1" si="7"/>
        <v>1.9815739474664709</v>
      </c>
      <c r="V26" s="99">
        <f t="shared" ca="1" si="7"/>
        <v>1.9815739298964048</v>
      </c>
      <c r="W26" s="99">
        <f t="shared" ca="1" si="7"/>
        <v>1.9815739123264375</v>
      </c>
      <c r="X26" s="99">
        <f t="shared" ca="1" si="7"/>
        <v>1.9815738947565689</v>
      </c>
      <c r="Y26" s="99">
        <f t="shared" ca="1" si="7"/>
        <v>1.981573877186799</v>
      </c>
      <c r="Z26" s="99">
        <f t="shared" ca="1" si="7"/>
        <v>1.9815738596171282</v>
      </c>
      <c r="AA26" s="99">
        <f t="shared" ca="1" si="7"/>
        <v>1.9815738420475562</v>
      </c>
      <c r="AB26" s="99">
        <f t="shared" ca="1" si="7"/>
        <v>1.9815738244780829</v>
      </c>
      <c r="AC26" s="99">
        <f t="shared" ca="1" si="7"/>
        <v>1.9815738069087085</v>
      </c>
      <c r="AD26" s="99">
        <f t="shared" ca="1" si="7"/>
        <v>1.9815737893394332</v>
      </c>
      <c r="AE26" s="99">
        <f t="shared" ca="1" si="7"/>
        <v>1.9815737717702568</v>
      </c>
      <c r="AF26" s="99">
        <f t="shared" ca="1" si="7"/>
        <v>1.9815737542011793</v>
      </c>
      <c r="AG26" s="99">
        <f t="shared" ca="1" si="7"/>
        <v>1.9815737366322006</v>
      </c>
      <c r="AH26" s="99">
        <f t="shared" ca="1" si="7"/>
        <v>1.9815737190633209</v>
      </c>
      <c r="AI26" s="99">
        <f t="shared" ca="1" si="7"/>
        <v>1.98157370149454</v>
      </c>
      <c r="AJ26" s="99">
        <f t="shared" ca="1" si="7"/>
        <v>1.9815736839258578</v>
      </c>
      <c r="AK26" s="99">
        <f t="shared" ca="1" si="7"/>
        <v>1.9815736663572743</v>
      </c>
      <c r="AL26" s="99">
        <f t="shared" ca="1" si="7"/>
        <v>1.9815736487887898</v>
      </c>
      <c r="AM26" s="99">
        <f t="shared" ca="1" si="7"/>
        <v>1.9815736312204042</v>
      </c>
      <c r="AN26" s="99">
        <f t="shared" ca="1" si="7"/>
        <v>1.9815736136521176</v>
      </c>
      <c r="AO26" s="99">
        <f t="shared" ca="1" si="7"/>
        <v>1.9815735960839298</v>
      </c>
      <c r="AP26" s="99">
        <f t="shared" ca="1" si="7"/>
        <v>1.981573578515841</v>
      </c>
      <c r="AQ26" s="99">
        <f t="shared" ca="1" si="7"/>
        <v>1.9815735609478511</v>
      </c>
      <c r="AR26" s="99">
        <f t="shared" ca="1" si="7"/>
        <v>1.9815735433799599</v>
      </c>
      <c r="AS26" s="99">
        <f t="shared" ca="1" si="7"/>
        <v>1.9815735258121676</v>
      </c>
      <c r="AT26" s="99">
        <f t="shared" ca="1" si="7"/>
        <v>1.9815735082444743</v>
      </c>
      <c r="AU26" s="99">
        <f t="shared" ca="1" si="7"/>
        <v>1.9815734906768798</v>
      </c>
      <c r="AV26" s="99">
        <f t="shared" ca="1" si="7"/>
        <v>1.9815734731093841</v>
      </c>
      <c r="AW26" s="99">
        <f t="shared" ca="1" si="7"/>
        <v>1.9815734555419873</v>
      </c>
      <c r="AX26" s="99">
        <f t="shared" ca="1" si="7"/>
        <v>1.9815734379746894</v>
      </c>
      <c r="AY26" s="99">
        <f t="shared" ca="1" si="7"/>
        <v>1.9815734204074904</v>
      </c>
      <c r="AZ26" s="99">
        <f t="shared" ca="1" si="7"/>
        <v>1.9815734028403902</v>
      </c>
      <c r="BA26" s="99">
        <f t="shared" ca="1" si="7"/>
        <v>1.9815733852733888</v>
      </c>
      <c r="BB26" s="99">
        <f t="shared" ca="1" si="7"/>
        <v>1.9815733677064864</v>
      </c>
      <c r="BC26" s="99">
        <f t="shared" ca="1" si="7"/>
        <v>1.9815733501396828</v>
      </c>
      <c r="BD26" s="99">
        <f t="shared" ca="1" si="7"/>
        <v>1.9815733325729781</v>
      </c>
      <c r="BE26" s="99">
        <f t="shared" ca="1" si="7"/>
        <v>1.9815733150063721</v>
      </c>
      <c r="BF26" s="96">
        <f ca="1">EXP(Workings!$B$16*'PDE 2'!F26+Workings!$B$17*'PDE 2'!$BE$2)*BE26</f>
        <v>26.35049511974421</v>
      </c>
    </row>
    <row r="27" spans="1:58" x14ac:dyDescent="0.25">
      <c r="A27" s="104">
        <f t="shared" ca="1" si="9"/>
        <v>9.9781309438336458E-4</v>
      </c>
      <c r="B27" s="99" cm="1">
        <f t="array" ref="B27">black76(1,Workings!$B$7,E27*Workings!$B$20,Workings!$B$5,Workings!$B$1,Workings!$B$1+2/365,Workings!$B$8)</f>
        <v>46.75600869953734</v>
      </c>
      <c r="C27" s="99">
        <f t="shared" ca="1" si="8"/>
        <v>46.310581741202704</v>
      </c>
      <c r="D27" s="86">
        <v>21</v>
      </c>
      <c r="E27" s="99">
        <f t="shared" si="3"/>
        <v>446.40319999999997</v>
      </c>
      <c r="F27" s="99">
        <f t="shared" si="1"/>
        <v>6.1012225795001891</v>
      </c>
      <c r="G27" s="64">
        <f>MAX(EXP($F27)-Workings!$B$7,0)*EXP(-Workings!$B$16*'PDE 2'!$F27)</f>
        <v>3.4149827537352788</v>
      </c>
      <c r="H27" s="99">
        <f t="shared" ca="1" si="4"/>
        <v>3.4149827377953685</v>
      </c>
      <c r="I27" s="99">
        <f t="shared" ca="1" si="7"/>
        <v>3.4149827218554583</v>
      </c>
      <c r="J27" s="99">
        <f t="shared" ca="1" si="7"/>
        <v>3.4149827059155475</v>
      </c>
      <c r="K27" s="99">
        <f t="shared" ca="1" si="7"/>
        <v>3.4149826899756364</v>
      </c>
      <c r="L27" s="99">
        <f t="shared" ca="1" si="7"/>
        <v>3.4149826740357252</v>
      </c>
      <c r="M27" s="99">
        <f t="shared" ca="1" si="7"/>
        <v>3.414982658095814</v>
      </c>
      <c r="N27" s="99">
        <f t="shared" ca="1" si="7"/>
        <v>3.4149826421559029</v>
      </c>
      <c r="O27" s="99">
        <f t="shared" ca="1" si="7"/>
        <v>3.4149826262159917</v>
      </c>
      <c r="P27" s="99">
        <f t="shared" ca="1" si="7"/>
        <v>3.4149826102760805</v>
      </c>
      <c r="Q27" s="99">
        <f t="shared" ca="1" si="7"/>
        <v>3.4149825943361694</v>
      </c>
      <c r="R27" s="99">
        <f t="shared" ca="1" si="7"/>
        <v>3.4149825783962582</v>
      </c>
      <c r="S27" s="99">
        <f t="shared" ca="1" si="7"/>
        <v>3.4149825624563466</v>
      </c>
      <c r="T27" s="99">
        <f t="shared" ca="1" si="7"/>
        <v>3.414982546516435</v>
      </c>
      <c r="U27" s="99">
        <f t="shared" ca="1" si="7"/>
        <v>3.4149825305765233</v>
      </c>
      <c r="V27" s="99">
        <f t="shared" ca="1" si="7"/>
        <v>3.4149825146366117</v>
      </c>
      <c r="W27" s="99">
        <f t="shared" ca="1" si="7"/>
        <v>3.4149824986967001</v>
      </c>
      <c r="X27" s="99">
        <f t="shared" ca="1" si="7"/>
        <v>3.4149824827567885</v>
      </c>
      <c r="Y27" s="99">
        <f t="shared" ca="1" si="7"/>
        <v>3.4149824668168769</v>
      </c>
      <c r="Z27" s="99">
        <f t="shared" ca="1" si="7"/>
        <v>3.4149824508769653</v>
      </c>
      <c r="AA27" s="99">
        <f t="shared" ca="1" si="7"/>
        <v>3.4149824349370532</v>
      </c>
      <c r="AB27" s="99">
        <f t="shared" ca="1" si="7"/>
        <v>3.4149824189971407</v>
      </c>
      <c r="AC27" s="99">
        <f t="shared" ca="1" si="7"/>
        <v>3.4149824030572282</v>
      </c>
      <c r="AD27" s="99">
        <f t="shared" ca="1" si="7"/>
        <v>3.4149823871173157</v>
      </c>
      <c r="AE27" s="99">
        <f t="shared" ca="1" si="7"/>
        <v>3.4149823711774032</v>
      </c>
      <c r="AF27" s="99">
        <f t="shared" ca="1" si="7"/>
        <v>3.4149823552374907</v>
      </c>
      <c r="AG27" s="99">
        <f t="shared" ca="1" si="7"/>
        <v>3.4149823392975782</v>
      </c>
      <c r="AH27" s="99">
        <f t="shared" ca="1" si="7"/>
        <v>3.4149823233576657</v>
      </c>
      <c r="AI27" s="99">
        <f t="shared" ca="1" si="7"/>
        <v>3.4149823074177532</v>
      </c>
      <c r="AJ27" s="99">
        <f t="shared" ca="1" si="7"/>
        <v>3.4149822914778412</v>
      </c>
      <c r="AK27" s="99">
        <f t="shared" ca="1" si="7"/>
        <v>3.4149822755379287</v>
      </c>
      <c r="AL27" s="99">
        <f t="shared" ca="1" si="7"/>
        <v>3.4149822595980162</v>
      </c>
      <c r="AM27" s="99">
        <f t="shared" ca="1" si="7"/>
        <v>3.4149822436581037</v>
      </c>
      <c r="AN27" s="99">
        <f t="shared" ca="1" si="7"/>
        <v>3.4149822277181912</v>
      </c>
      <c r="AO27" s="99">
        <f t="shared" ca="1" si="7"/>
        <v>3.4149822117782787</v>
      </c>
      <c r="AP27" s="99">
        <f t="shared" ca="1" si="7"/>
        <v>3.4149821958383662</v>
      </c>
      <c r="AQ27" s="99">
        <f t="shared" ca="1" si="7"/>
        <v>3.4149821798984532</v>
      </c>
      <c r="AR27" s="99">
        <f t="shared" ca="1" si="7"/>
        <v>3.4149821639585403</v>
      </c>
      <c r="AS27" s="99">
        <f t="shared" ca="1" si="7"/>
        <v>3.4149821480186273</v>
      </c>
      <c r="AT27" s="99">
        <f t="shared" ca="1" si="7"/>
        <v>3.4149821320787139</v>
      </c>
      <c r="AU27" s="99">
        <f t="shared" ca="1" si="7"/>
        <v>3.4149821161388005</v>
      </c>
      <c r="AV27" s="99">
        <f t="shared" ca="1" si="7"/>
        <v>3.4149821001988871</v>
      </c>
      <c r="AW27" s="99">
        <f t="shared" ca="1" si="7"/>
        <v>3.4149820842589738</v>
      </c>
      <c r="AX27" s="99">
        <f t="shared" ca="1" si="7"/>
        <v>3.4149820683190604</v>
      </c>
      <c r="AY27" s="99">
        <f t="shared" ca="1" si="7"/>
        <v>3.414982052379147</v>
      </c>
      <c r="AZ27" s="99">
        <f t="shared" ca="1" si="7"/>
        <v>3.4149820364392336</v>
      </c>
      <c r="BA27" s="99">
        <f t="shared" ca="1" si="7"/>
        <v>3.4149820204993202</v>
      </c>
      <c r="BB27" s="99">
        <f t="shared" ca="1" si="7"/>
        <v>3.4149820045594068</v>
      </c>
      <c r="BC27" s="99">
        <f t="shared" ca="1" si="7"/>
        <v>3.414981988619493</v>
      </c>
      <c r="BD27" s="99">
        <f t="shared" ca="1" si="7"/>
        <v>3.4149819726795791</v>
      </c>
      <c r="BE27" s="99">
        <f t="shared" ca="1" si="7"/>
        <v>3.4149819567396653</v>
      </c>
      <c r="BF27" s="96">
        <f ca="1">EXP(Workings!$B$16*'PDE 2'!F27+Workings!$B$17*'PDE 2'!$BE$2)*BE27</f>
        <v>46.310581741202704</v>
      </c>
    </row>
    <row r="28" spans="1:58" x14ac:dyDescent="0.25">
      <c r="A28" s="104">
        <f t="shared" ca="1" si="9"/>
        <v>1.0406027216069192E-3</v>
      </c>
      <c r="B28" s="99" cm="1">
        <f t="array" ref="B28">black76(1,Workings!$B$7,E28*Workings!$B$20,Workings!$B$5,Workings!$B$1,Workings!$B$1+2/365,Workings!$B$8)</f>
        <v>66.756008699537333</v>
      </c>
      <c r="C28" s="99">
        <f t="shared" ca="1" si="8"/>
        <v>66.270668260251156</v>
      </c>
      <c r="D28" s="86">
        <v>22</v>
      </c>
      <c r="E28" s="99">
        <f t="shared" si="3"/>
        <v>466.40319999999997</v>
      </c>
      <c r="F28" s="99">
        <f t="shared" si="1"/>
        <v>6.1450504960762107</v>
      </c>
      <c r="G28" s="64">
        <f>MAX(EXP($F28)-Workings!$B$7,0)*EXP(-Workings!$B$16*'PDE 2'!$F28)</f>
        <v>4.7961149346075755</v>
      </c>
      <c r="H28" s="99">
        <f t="shared" ca="1" si="4"/>
        <v>4.796114920079571</v>
      </c>
      <c r="I28" s="99">
        <f t="shared" ca="1" si="7"/>
        <v>4.7961149055515655</v>
      </c>
      <c r="J28" s="99">
        <f t="shared" ca="1" si="7"/>
        <v>4.7961148910235609</v>
      </c>
      <c r="K28" s="99">
        <f t="shared" ca="1" si="7"/>
        <v>4.7961148764955555</v>
      </c>
      <c r="L28" s="99">
        <f t="shared" ca="1" si="7"/>
        <v>4.7961148619675509</v>
      </c>
      <c r="M28" s="99">
        <f t="shared" ca="1" si="7"/>
        <v>4.7961148474395454</v>
      </c>
      <c r="N28" s="99">
        <f t="shared" ca="1" si="7"/>
        <v>4.7961148329115399</v>
      </c>
      <c r="O28" s="99">
        <f t="shared" ref="I28:BE33" ca="1" si="10">$E$3*(N27)+(1-2*$E$3)*N28+$E$3*N29</f>
        <v>4.7961148183835345</v>
      </c>
      <c r="P28" s="99">
        <f t="shared" ca="1" si="10"/>
        <v>4.796114803855529</v>
      </c>
      <c r="Q28" s="99">
        <f t="shared" ca="1" si="10"/>
        <v>4.7961147893275244</v>
      </c>
      <c r="R28" s="99">
        <f t="shared" ca="1" si="10"/>
        <v>4.796114774799519</v>
      </c>
      <c r="S28" s="99">
        <f t="shared" ca="1" si="10"/>
        <v>4.7961147602715144</v>
      </c>
      <c r="T28" s="99">
        <f t="shared" ca="1" si="10"/>
        <v>4.7961147457435089</v>
      </c>
      <c r="U28" s="99">
        <f t="shared" ca="1" si="10"/>
        <v>4.7961147312155044</v>
      </c>
      <c r="V28" s="99">
        <f t="shared" ca="1" si="10"/>
        <v>4.7961147166874989</v>
      </c>
      <c r="W28" s="99">
        <f t="shared" ca="1" si="10"/>
        <v>4.7961147021594934</v>
      </c>
      <c r="X28" s="99">
        <f t="shared" ca="1" si="10"/>
        <v>4.796114687631488</v>
      </c>
      <c r="Y28" s="99">
        <f t="shared" ca="1" si="10"/>
        <v>4.7961146731034825</v>
      </c>
      <c r="Z28" s="99">
        <f t="shared" ca="1" si="10"/>
        <v>4.796114658575477</v>
      </c>
      <c r="AA28" s="99">
        <f t="shared" ca="1" si="10"/>
        <v>4.7961146440474707</v>
      </c>
      <c r="AB28" s="99">
        <f t="shared" ca="1" si="10"/>
        <v>4.7961146295194643</v>
      </c>
      <c r="AC28" s="99">
        <f t="shared" ca="1" si="10"/>
        <v>4.796114614991458</v>
      </c>
      <c r="AD28" s="99">
        <f t="shared" ca="1" si="10"/>
        <v>4.7961146004634507</v>
      </c>
      <c r="AE28" s="99">
        <f t="shared" ca="1" si="10"/>
        <v>4.7961145859354444</v>
      </c>
      <c r="AF28" s="99">
        <f t="shared" ca="1" si="10"/>
        <v>4.7961145714074371</v>
      </c>
      <c r="AG28" s="99">
        <f t="shared" ca="1" si="10"/>
        <v>4.7961145568794308</v>
      </c>
      <c r="AH28" s="99">
        <f t="shared" ca="1" si="10"/>
        <v>4.7961145423514235</v>
      </c>
      <c r="AI28" s="99">
        <f t="shared" ca="1" si="10"/>
        <v>4.7961145278234172</v>
      </c>
      <c r="AJ28" s="99">
        <f t="shared" ca="1" si="10"/>
        <v>4.7961145132954108</v>
      </c>
      <c r="AK28" s="99">
        <f t="shared" ca="1" si="10"/>
        <v>4.7961144987674036</v>
      </c>
      <c r="AL28" s="99">
        <f t="shared" ca="1" si="10"/>
        <v>4.7961144842393972</v>
      </c>
      <c r="AM28" s="99">
        <f t="shared" ca="1" si="10"/>
        <v>4.79611446971139</v>
      </c>
      <c r="AN28" s="99">
        <f t="shared" ca="1" si="10"/>
        <v>4.7961144551833836</v>
      </c>
      <c r="AO28" s="99">
        <f t="shared" ca="1" si="10"/>
        <v>4.7961144406553764</v>
      </c>
      <c r="AP28" s="99">
        <f t="shared" ca="1" si="10"/>
        <v>4.79611442612737</v>
      </c>
      <c r="AQ28" s="99">
        <f t="shared" ca="1" si="10"/>
        <v>4.7961144115993628</v>
      </c>
      <c r="AR28" s="99">
        <f t="shared" ca="1" si="10"/>
        <v>4.7961143970713564</v>
      </c>
      <c r="AS28" s="99">
        <f t="shared" ca="1" si="10"/>
        <v>4.7961143825433492</v>
      </c>
      <c r="AT28" s="99">
        <f t="shared" ca="1" si="10"/>
        <v>4.796114368015342</v>
      </c>
      <c r="AU28" s="99">
        <f t="shared" ca="1" si="10"/>
        <v>4.7961143534873347</v>
      </c>
      <c r="AV28" s="99">
        <f t="shared" ca="1" si="10"/>
        <v>4.7961143389593275</v>
      </c>
      <c r="AW28" s="99">
        <f t="shared" ca="1" si="10"/>
        <v>4.7961143244313202</v>
      </c>
      <c r="AX28" s="99">
        <f t="shared" ca="1" si="10"/>
        <v>4.796114309903313</v>
      </c>
      <c r="AY28" s="99">
        <f t="shared" ca="1" si="10"/>
        <v>4.7961142953753058</v>
      </c>
      <c r="AZ28" s="99">
        <f t="shared" ca="1" si="10"/>
        <v>4.7961142808472985</v>
      </c>
      <c r="BA28" s="99">
        <f t="shared" ca="1" si="10"/>
        <v>4.7961142663192913</v>
      </c>
      <c r="BB28" s="99">
        <f t="shared" ca="1" si="10"/>
        <v>4.796114251791284</v>
      </c>
      <c r="BC28" s="99">
        <f t="shared" ca="1" si="10"/>
        <v>4.7961142372632768</v>
      </c>
      <c r="BD28" s="99">
        <f t="shared" ca="1" si="10"/>
        <v>4.7961142227352695</v>
      </c>
      <c r="BE28" s="99">
        <f t="shared" ca="1" si="10"/>
        <v>4.7961142082072623</v>
      </c>
      <c r="BF28" s="96">
        <f ca="1">EXP(Workings!$B$16*'PDE 2'!F28+Workings!$B$17*'PDE 2'!$BE$2)*BE28</f>
        <v>66.270668260251156</v>
      </c>
    </row>
    <row r="29" spans="1:58" x14ac:dyDescent="0.25">
      <c r="A29" s="104">
        <f t="shared" ca="1" si="9"/>
        <v>1.0798736685592356E-3</v>
      </c>
      <c r="B29" s="99" cm="1">
        <f t="array" ref="B29">black76(1,Workings!$B$7,E29*Workings!$B$20,Workings!$B$5,Workings!$B$1,Workings!$B$1+2/365,Workings!$B$8)</f>
        <v>86.756008699537333</v>
      </c>
      <c r="C29" s="99">
        <f t="shared" ca="1" si="8"/>
        <v>86.230754691554381</v>
      </c>
      <c r="D29" s="86">
        <v>23</v>
      </c>
      <c r="E29" s="99">
        <f t="shared" si="3"/>
        <v>486.40319999999997</v>
      </c>
      <c r="F29" s="99">
        <f t="shared" si="1"/>
        <v>6.1870379095776844</v>
      </c>
      <c r="G29" s="64">
        <f>MAX(EXP($F29)-Workings!$B$7,0)*EXP(-Workings!$B$16*'PDE 2'!$F29)</f>
        <v>6.1296012089913781</v>
      </c>
      <c r="H29" s="99">
        <f t="shared" ca="1" si="4"/>
        <v>6.1296011956932315</v>
      </c>
      <c r="I29" s="99">
        <f t="shared" ca="1" si="10"/>
        <v>6.1296011823950849</v>
      </c>
      <c r="J29" s="99">
        <f t="shared" ca="1" si="10"/>
        <v>6.1296011690969383</v>
      </c>
      <c r="K29" s="99">
        <f t="shared" ca="1" si="10"/>
        <v>6.1296011557987917</v>
      </c>
      <c r="L29" s="99">
        <f t="shared" ca="1" si="10"/>
        <v>6.1296011425006451</v>
      </c>
      <c r="M29" s="99">
        <f t="shared" ca="1" si="10"/>
        <v>6.1296011292024986</v>
      </c>
      <c r="N29" s="99">
        <f t="shared" ca="1" si="10"/>
        <v>6.129601115904352</v>
      </c>
      <c r="O29" s="99">
        <f t="shared" ca="1" si="10"/>
        <v>6.1296011026062054</v>
      </c>
      <c r="P29" s="99">
        <f t="shared" ca="1" si="10"/>
        <v>6.1296010893080588</v>
      </c>
      <c r="Q29" s="99">
        <f t="shared" ca="1" si="10"/>
        <v>6.1296010760099122</v>
      </c>
      <c r="R29" s="99">
        <f t="shared" ca="1" si="10"/>
        <v>6.1296010627117647</v>
      </c>
      <c r="S29" s="99">
        <f t="shared" ca="1" si="10"/>
        <v>6.1296010494136173</v>
      </c>
      <c r="T29" s="99">
        <f t="shared" ca="1" si="10"/>
        <v>6.1296010361154698</v>
      </c>
      <c r="U29" s="99">
        <f t="shared" ca="1" si="10"/>
        <v>6.1296010228173232</v>
      </c>
      <c r="V29" s="99">
        <f t="shared" ca="1" si="10"/>
        <v>6.1296010095191766</v>
      </c>
      <c r="W29" s="99">
        <f t="shared" ca="1" si="10"/>
        <v>6.1296009962210301</v>
      </c>
      <c r="X29" s="99">
        <f t="shared" ca="1" si="10"/>
        <v>6.1296009829228826</v>
      </c>
      <c r="Y29" s="99">
        <f t="shared" ca="1" si="10"/>
        <v>6.1296009696247351</v>
      </c>
      <c r="Z29" s="99">
        <f t="shared" ca="1" si="10"/>
        <v>6.1296009563265876</v>
      </c>
      <c r="AA29" s="99">
        <f t="shared" ca="1" si="10"/>
        <v>6.1296009430284402</v>
      </c>
      <c r="AB29" s="99">
        <f t="shared" ca="1" si="10"/>
        <v>6.1296009297302936</v>
      </c>
      <c r="AC29" s="99">
        <f t="shared" ca="1" si="10"/>
        <v>6.1296009164321461</v>
      </c>
      <c r="AD29" s="99">
        <f t="shared" ca="1" si="10"/>
        <v>6.1296009031339986</v>
      </c>
      <c r="AE29" s="99">
        <f t="shared" ca="1" si="10"/>
        <v>6.1296008898358512</v>
      </c>
      <c r="AF29" s="99">
        <f t="shared" ca="1" si="10"/>
        <v>6.1296008765377037</v>
      </c>
      <c r="AG29" s="99">
        <f t="shared" ca="1" si="10"/>
        <v>6.1296008632395562</v>
      </c>
      <c r="AH29" s="99">
        <f t="shared" ca="1" si="10"/>
        <v>6.1296008499414079</v>
      </c>
      <c r="AI29" s="99">
        <f t="shared" ca="1" si="10"/>
        <v>6.1296008366432595</v>
      </c>
      <c r="AJ29" s="99">
        <f t="shared" ca="1" si="10"/>
        <v>6.129600823345112</v>
      </c>
      <c r="AK29" s="99">
        <f t="shared" ca="1" si="10"/>
        <v>6.1296008100469646</v>
      </c>
      <c r="AL29" s="99">
        <f t="shared" ca="1" si="10"/>
        <v>6.1296007967488171</v>
      </c>
      <c r="AM29" s="99">
        <f t="shared" ca="1" si="10"/>
        <v>6.1296007834506687</v>
      </c>
      <c r="AN29" s="99">
        <f t="shared" ca="1" si="10"/>
        <v>6.1296007701525204</v>
      </c>
      <c r="AO29" s="99">
        <f t="shared" ca="1" si="10"/>
        <v>6.129600756854372</v>
      </c>
      <c r="AP29" s="99">
        <f t="shared" ca="1" si="10"/>
        <v>6.1296007435562236</v>
      </c>
      <c r="AQ29" s="99">
        <f t="shared" ca="1" si="10"/>
        <v>6.1296007302580753</v>
      </c>
      <c r="AR29" s="99">
        <f t="shared" ca="1" si="10"/>
        <v>6.1296007169599269</v>
      </c>
      <c r="AS29" s="99">
        <f t="shared" ca="1" si="10"/>
        <v>6.1296007036617786</v>
      </c>
      <c r="AT29" s="99">
        <f t="shared" ca="1" si="10"/>
        <v>6.1296006903636302</v>
      </c>
      <c r="AU29" s="99">
        <f t="shared" ca="1" si="10"/>
        <v>6.1296006770654818</v>
      </c>
      <c r="AV29" s="99">
        <f t="shared" ca="1" si="10"/>
        <v>6.1296006637673335</v>
      </c>
      <c r="AW29" s="99">
        <f t="shared" ca="1" si="10"/>
        <v>6.1296006504691842</v>
      </c>
      <c r="AX29" s="99">
        <f t="shared" ca="1" si="10"/>
        <v>6.129600637171035</v>
      </c>
      <c r="AY29" s="99">
        <f t="shared" ca="1" si="10"/>
        <v>6.1296006238728866</v>
      </c>
      <c r="AZ29" s="99">
        <f t="shared" ca="1" si="10"/>
        <v>6.1296006105747383</v>
      </c>
      <c r="BA29" s="99">
        <f t="shared" ca="1" si="10"/>
        <v>6.1296005972765899</v>
      </c>
      <c r="BB29" s="99">
        <f t="shared" ca="1" si="10"/>
        <v>6.1296005839784407</v>
      </c>
      <c r="BC29" s="99">
        <f t="shared" ca="1" si="10"/>
        <v>6.1296005706802914</v>
      </c>
      <c r="BD29" s="99">
        <f t="shared" ca="1" si="10"/>
        <v>6.129600557382143</v>
      </c>
      <c r="BE29" s="99">
        <f t="shared" ca="1" si="10"/>
        <v>6.1296005440839947</v>
      </c>
      <c r="BF29" s="96">
        <f ca="1">EXP(Workings!$B$16*'PDE 2'!F29+Workings!$B$17*'PDE 2'!$BE$2)*BE29</f>
        <v>86.230754691554381</v>
      </c>
    </row>
    <row r="30" spans="1:58" x14ac:dyDescent="0.25">
      <c r="A30" s="104">
        <f t="shared" ca="1" si="9"/>
        <v>1.1160428118228071E-3</v>
      </c>
      <c r="B30" s="99" cm="1">
        <f t="array" ref="B30">black76(1,Workings!$B$7,E30*Workings!$B$20,Workings!$B$5,Workings!$B$1,Workings!$B$1+2/365,Workings!$B$8)</f>
        <v>106.75600869953733</v>
      </c>
      <c r="C30" s="99">
        <f t="shared" ca="1" si="8"/>
        <v>106.19084104829327</v>
      </c>
      <c r="D30" s="86">
        <v>24</v>
      </c>
      <c r="E30" s="99">
        <f t="shared" si="3"/>
        <v>506.40319999999997</v>
      </c>
      <c r="F30" s="99">
        <f t="shared" si="1"/>
        <v>6.227333189925325</v>
      </c>
      <c r="G30" s="64">
        <f>MAX(EXP($F30)-Workings!$B$7,0)*EXP(-Workings!$B$16*'PDE 2'!$F30)</f>
        <v>7.4194750096608173</v>
      </c>
      <c r="H30" s="99">
        <f t="shared" ca="1" si="4"/>
        <v>7.419474997440398</v>
      </c>
      <c r="I30" s="99">
        <f t="shared" ca="1" si="10"/>
        <v>7.4194749852199777</v>
      </c>
      <c r="J30" s="99">
        <f t="shared" ca="1" si="10"/>
        <v>7.4194749729995584</v>
      </c>
      <c r="K30" s="99">
        <f t="shared" ca="1" si="10"/>
        <v>7.4194749607791382</v>
      </c>
      <c r="L30" s="99">
        <f t="shared" ca="1" si="10"/>
        <v>7.4194749485587179</v>
      </c>
      <c r="M30" s="99">
        <f t="shared" ca="1" si="10"/>
        <v>7.4194749363382986</v>
      </c>
      <c r="N30" s="99">
        <f t="shared" ca="1" si="10"/>
        <v>7.4194749241178783</v>
      </c>
      <c r="O30" s="99">
        <f t="shared" ca="1" si="10"/>
        <v>7.4194749118974581</v>
      </c>
      <c r="P30" s="99">
        <f t="shared" ca="1" si="10"/>
        <v>7.4194748996770379</v>
      </c>
      <c r="Q30" s="99">
        <f t="shared" ca="1" si="10"/>
        <v>7.4194748874566177</v>
      </c>
      <c r="R30" s="99">
        <f t="shared" ca="1" si="10"/>
        <v>7.4194748752361974</v>
      </c>
      <c r="S30" s="99">
        <f t="shared" ca="1" si="10"/>
        <v>7.4194748630157772</v>
      </c>
      <c r="T30" s="99">
        <f t="shared" ca="1" si="10"/>
        <v>7.4194748507953561</v>
      </c>
      <c r="U30" s="99">
        <f t="shared" ca="1" si="10"/>
        <v>7.4194748385749367</v>
      </c>
      <c r="V30" s="99">
        <f t="shared" ca="1" si="10"/>
        <v>7.4194748263545165</v>
      </c>
      <c r="W30" s="99">
        <f t="shared" ca="1" si="10"/>
        <v>7.4194748141340963</v>
      </c>
      <c r="X30" s="99">
        <f t="shared" ca="1" si="10"/>
        <v>7.419474801913676</v>
      </c>
      <c r="Y30" s="99">
        <f t="shared" ca="1" si="10"/>
        <v>7.4194747896932549</v>
      </c>
      <c r="Z30" s="99">
        <f t="shared" ca="1" si="10"/>
        <v>7.4194747774728347</v>
      </c>
      <c r="AA30" s="99">
        <f t="shared" ca="1" si="10"/>
        <v>7.4194747652524136</v>
      </c>
      <c r="AB30" s="99">
        <f t="shared" ca="1" si="10"/>
        <v>7.4194747530319933</v>
      </c>
      <c r="AC30" s="99">
        <f t="shared" ca="1" si="10"/>
        <v>7.4194747408115731</v>
      </c>
      <c r="AD30" s="99">
        <f t="shared" ca="1" si="10"/>
        <v>7.419474728591152</v>
      </c>
      <c r="AE30" s="99">
        <f t="shared" ca="1" si="10"/>
        <v>7.4194747163707317</v>
      </c>
      <c r="AF30" s="99">
        <f t="shared" ca="1" si="10"/>
        <v>7.4194747041503106</v>
      </c>
      <c r="AG30" s="99">
        <f t="shared" ca="1" si="10"/>
        <v>7.4194746919298895</v>
      </c>
      <c r="AH30" s="99">
        <f t="shared" ca="1" si="10"/>
        <v>7.4194746797094684</v>
      </c>
      <c r="AI30" s="99">
        <f t="shared" ca="1" si="10"/>
        <v>7.4194746674890473</v>
      </c>
      <c r="AJ30" s="99">
        <f t="shared" ca="1" si="10"/>
        <v>7.419474655268627</v>
      </c>
      <c r="AK30" s="99">
        <f t="shared" ca="1" si="10"/>
        <v>7.4194746430482059</v>
      </c>
      <c r="AL30" s="99">
        <f t="shared" ca="1" si="10"/>
        <v>7.4194746308277848</v>
      </c>
      <c r="AM30" s="99">
        <f t="shared" ca="1" si="10"/>
        <v>7.4194746186073637</v>
      </c>
      <c r="AN30" s="99">
        <f t="shared" ca="1" si="10"/>
        <v>7.4194746063869426</v>
      </c>
      <c r="AO30" s="99">
        <f t="shared" ca="1" si="10"/>
        <v>7.4194745941665214</v>
      </c>
      <c r="AP30" s="99">
        <f t="shared" ca="1" si="10"/>
        <v>7.4194745819461003</v>
      </c>
      <c r="AQ30" s="99">
        <f t="shared" ca="1" si="10"/>
        <v>7.4194745697256783</v>
      </c>
      <c r="AR30" s="99">
        <f t="shared" ca="1" si="10"/>
        <v>7.4194745575052581</v>
      </c>
      <c r="AS30" s="99">
        <f t="shared" ca="1" si="10"/>
        <v>7.419474545284837</v>
      </c>
      <c r="AT30" s="99">
        <f t="shared" ca="1" si="10"/>
        <v>7.4194745330644158</v>
      </c>
      <c r="AU30" s="99">
        <f t="shared" ca="1" si="10"/>
        <v>7.4194745208439947</v>
      </c>
      <c r="AV30" s="99">
        <f t="shared" ca="1" si="10"/>
        <v>7.4194745086235727</v>
      </c>
      <c r="AW30" s="99">
        <f t="shared" ca="1" si="10"/>
        <v>7.4194744964031516</v>
      </c>
      <c r="AX30" s="99">
        <f t="shared" ca="1" si="10"/>
        <v>7.4194744841827296</v>
      </c>
      <c r="AY30" s="99">
        <f t="shared" ca="1" si="10"/>
        <v>7.4194744719623085</v>
      </c>
      <c r="AZ30" s="99">
        <f t="shared" ca="1" si="10"/>
        <v>7.4194744597418874</v>
      </c>
      <c r="BA30" s="99">
        <f t="shared" ca="1" si="10"/>
        <v>7.4194744475214653</v>
      </c>
      <c r="BB30" s="99">
        <f t="shared" ca="1" si="10"/>
        <v>7.4194744353010442</v>
      </c>
      <c r="BC30" s="99">
        <f t="shared" ca="1" si="10"/>
        <v>7.4194744230806222</v>
      </c>
      <c r="BD30" s="99">
        <f t="shared" ca="1" si="10"/>
        <v>7.4194744108602002</v>
      </c>
      <c r="BE30" s="99">
        <f t="shared" ca="1" si="10"/>
        <v>7.4194743986397782</v>
      </c>
      <c r="BF30" s="96">
        <f ca="1">EXP(Workings!$B$16*'PDE 2'!F30+Workings!$B$17*'PDE 2'!$BE$2)*BE30</f>
        <v>106.19084104829327</v>
      </c>
    </row>
    <row r="31" spans="1:58" x14ac:dyDescent="0.25">
      <c r="A31" s="104">
        <f t="shared" ca="1" si="9"/>
        <v>1.1494636778475093E-3</v>
      </c>
      <c r="B31" s="99" cm="1">
        <f t="array" ref="B31">black76(1,Workings!$B$7,E31*Workings!$B$20,Workings!$B$5,Workings!$B$1,Workings!$B$1+2/365,Workings!$B$8)</f>
        <v>126.75600869953739</v>
      </c>
      <c r="C31" s="99">
        <f ca="1">BF31</f>
        <v>126.15092734123469</v>
      </c>
      <c r="D31" s="86">
        <v>25</v>
      </c>
      <c r="E31" s="97">
        <f>Workings!B6</f>
        <v>526.40319999999997</v>
      </c>
      <c r="F31" s="99">
        <f t="shared" si="1"/>
        <v>6.2660674590199861</v>
      </c>
      <c r="G31" s="64">
        <f>MAX(EXP($F31)-Workings!$B$7,0)*EXP(-Workings!$B$16*'PDE 2'!$F31)</f>
        <v>8.6692708385442963</v>
      </c>
      <c r="H31" s="99">
        <f t="shared" ca="1" si="4"/>
        <v>8.6692708272735111</v>
      </c>
      <c r="I31" s="99">
        <f t="shared" ca="1" si="10"/>
        <v>8.6692708160027259</v>
      </c>
      <c r="J31" s="99">
        <f t="shared" ca="1" si="10"/>
        <v>8.6692708047319424</v>
      </c>
      <c r="K31" s="99">
        <f t="shared" ca="1" si="10"/>
        <v>8.669270793461159</v>
      </c>
      <c r="L31" s="99">
        <f t="shared" ca="1" si="10"/>
        <v>8.6692707821903738</v>
      </c>
      <c r="M31" s="99">
        <f t="shared" ca="1" si="10"/>
        <v>8.6692707709195886</v>
      </c>
      <c r="N31" s="99">
        <f t="shared" ca="1" si="10"/>
        <v>8.6692707596488034</v>
      </c>
      <c r="O31" s="99">
        <f t="shared" ca="1" si="10"/>
        <v>8.66927074837802</v>
      </c>
      <c r="P31" s="99">
        <f t="shared" ca="1" si="10"/>
        <v>8.6692707371072348</v>
      </c>
      <c r="Q31" s="99">
        <f t="shared" ca="1" si="10"/>
        <v>8.6692707258364496</v>
      </c>
      <c r="R31" s="99">
        <f t="shared" ca="1" si="10"/>
        <v>8.6692707145656644</v>
      </c>
      <c r="S31" s="99">
        <f t="shared" ca="1" si="10"/>
        <v>8.6692707032948775</v>
      </c>
      <c r="T31" s="99">
        <f t="shared" ca="1" si="10"/>
        <v>8.6692706920240923</v>
      </c>
      <c r="U31" s="99">
        <f t="shared" ca="1" si="10"/>
        <v>8.6692706807533071</v>
      </c>
      <c r="V31" s="99">
        <f t="shared" ca="1" si="10"/>
        <v>8.6692706694825219</v>
      </c>
      <c r="W31" s="99">
        <f t="shared" ca="1" si="10"/>
        <v>8.6692706582117367</v>
      </c>
      <c r="X31" s="99">
        <f t="shared" ca="1" si="10"/>
        <v>8.6692706469409533</v>
      </c>
      <c r="Y31" s="99">
        <f t="shared" ca="1" si="10"/>
        <v>8.6692706356701699</v>
      </c>
      <c r="Z31" s="99">
        <f t="shared" ca="1" si="10"/>
        <v>8.6692706243993847</v>
      </c>
      <c r="AA31" s="99">
        <f t="shared" ca="1" si="10"/>
        <v>8.6692706131285977</v>
      </c>
      <c r="AB31" s="99">
        <f t="shared" ca="1" si="10"/>
        <v>8.6692706018578107</v>
      </c>
      <c r="AC31" s="99">
        <f t="shared" ca="1" si="10"/>
        <v>8.6692705905870255</v>
      </c>
      <c r="AD31" s="99">
        <f t="shared" ca="1" si="10"/>
        <v>8.6692705793162403</v>
      </c>
      <c r="AE31" s="99">
        <f t="shared" ca="1" si="10"/>
        <v>8.6692705680454551</v>
      </c>
      <c r="AF31" s="99">
        <f t="shared" ca="1" si="10"/>
        <v>8.66927055677467</v>
      </c>
      <c r="AG31" s="99">
        <f t="shared" ca="1" si="10"/>
        <v>8.6692705455038848</v>
      </c>
      <c r="AH31" s="99">
        <f t="shared" ca="1" si="10"/>
        <v>8.6692705342331013</v>
      </c>
      <c r="AI31" s="99">
        <f t="shared" ca="1" si="10"/>
        <v>8.6692705229623162</v>
      </c>
      <c r="AJ31" s="99">
        <f t="shared" ca="1" si="10"/>
        <v>8.6692705116915292</v>
      </c>
      <c r="AK31" s="99">
        <f t="shared" ca="1" si="10"/>
        <v>8.6692705004207422</v>
      </c>
      <c r="AL31" s="99">
        <f t="shared" ca="1" si="10"/>
        <v>8.6692704891499552</v>
      </c>
      <c r="AM31" s="99">
        <f t="shared" ca="1" si="10"/>
        <v>8.66927047787917</v>
      </c>
      <c r="AN31" s="99">
        <f t="shared" ca="1" si="10"/>
        <v>8.6692704666083849</v>
      </c>
      <c r="AO31" s="99">
        <f t="shared" ca="1" si="10"/>
        <v>8.6692704553375997</v>
      </c>
      <c r="AP31" s="99">
        <f t="shared" ca="1" si="10"/>
        <v>8.6692704440668127</v>
      </c>
      <c r="AQ31" s="99">
        <f t="shared" ca="1" si="10"/>
        <v>8.6692704327960275</v>
      </c>
      <c r="AR31" s="99">
        <f t="shared" ca="1" si="10"/>
        <v>8.6692704215252423</v>
      </c>
      <c r="AS31" s="99">
        <f t="shared" ca="1" si="10"/>
        <v>8.6692704102544571</v>
      </c>
      <c r="AT31" s="99">
        <f t="shared" ca="1" si="10"/>
        <v>8.6692703989836719</v>
      </c>
      <c r="AU31" s="99">
        <f t="shared" ca="1" si="10"/>
        <v>8.6692703877128849</v>
      </c>
      <c r="AV31" s="99">
        <f t="shared" ca="1" si="10"/>
        <v>8.6692703764420997</v>
      </c>
      <c r="AW31" s="99">
        <f t="shared" ca="1" si="10"/>
        <v>8.6692703651713146</v>
      </c>
      <c r="AX31" s="99">
        <f t="shared" ca="1" si="10"/>
        <v>8.6692703539005276</v>
      </c>
      <c r="AY31" s="99">
        <f t="shared" ca="1" si="10"/>
        <v>8.6692703426297406</v>
      </c>
      <c r="AZ31" s="99">
        <f t="shared" ca="1" si="10"/>
        <v>8.6692703313589536</v>
      </c>
      <c r="BA31" s="99">
        <f t="shared" ca="1" si="10"/>
        <v>8.6692703200881684</v>
      </c>
      <c r="BB31" s="99">
        <f t="shared" ca="1" si="10"/>
        <v>8.6692703088173833</v>
      </c>
      <c r="BC31" s="99">
        <f t="shared" ca="1" si="10"/>
        <v>8.6692702975465981</v>
      </c>
      <c r="BD31" s="99">
        <f t="shared" ca="1" si="10"/>
        <v>8.6692702862758129</v>
      </c>
      <c r="BE31" s="99">
        <f t="shared" ca="1" si="10"/>
        <v>8.6692702750050259</v>
      </c>
      <c r="BF31" s="96">
        <f ca="1">EXP(Workings!$B$16*'PDE 2'!F31+Workings!$B$17*'PDE 2'!$BE$2)*BE31</f>
        <v>126.15092734123469</v>
      </c>
    </row>
    <row r="32" spans="1:58" x14ac:dyDescent="0.25">
      <c r="A32" s="104">
        <f t="shared" ca="1" si="9"/>
        <v>1.1804380360309989E-3</v>
      </c>
      <c r="B32" s="99" cm="1">
        <f t="array" ref="B32">black76(1,Workings!$B$7,E32*Workings!$B$20,Workings!$B$5,Workings!$B$1,Workings!$B$1+2/365,Workings!$B$8)</f>
        <v>146.7560086995374</v>
      </c>
      <c r="C32" s="99">
        <f t="shared" ref="C32:C56" ca="1" si="11">BF32</f>
        <v>146.11101357924835</v>
      </c>
      <c r="D32" s="86">
        <v>26</v>
      </c>
      <c r="E32">
        <f>E31+20</f>
        <v>546.40319999999997</v>
      </c>
      <c r="F32" s="99">
        <f t="shared" si="1"/>
        <v>6.3033571647548046</v>
      </c>
      <c r="G32" s="64">
        <f>MAX(EXP($F32)-Workings!$B$7,0)*EXP(-Workings!$B$16*'PDE 2'!$F32)</f>
        <v>9.8821031103146879</v>
      </c>
      <c r="H32" s="99">
        <f t="shared" ca="1" si="4"/>
        <v>9.8821030998849384</v>
      </c>
      <c r="I32" s="99">
        <f t="shared" ca="1" si="10"/>
        <v>9.8821030894551907</v>
      </c>
      <c r="J32" s="99">
        <f t="shared" ca="1" si="10"/>
        <v>9.8821030790254429</v>
      </c>
      <c r="K32" s="99">
        <f t="shared" ca="1" si="10"/>
        <v>9.8821030685956934</v>
      </c>
      <c r="L32" s="99">
        <f t="shared" ca="1" si="10"/>
        <v>9.8821030581659457</v>
      </c>
      <c r="M32" s="99">
        <f t="shared" ca="1" si="10"/>
        <v>9.8821030477361962</v>
      </c>
      <c r="N32" s="99">
        <f t="shared" ca="1" si="10"/>
        <v>9.8821030373064467</v>
      </c>
      <c r="O32" s="99">
        <f t="shared" ca="1" si="10"/>
        <v>9.8821030268766972</v>
      </c>
      <c r="P32" s="99">
        <f t="shared" ca="1" si="10"/>
        <v>9.8821030164469477</v>
      </c>
      <c r="Q32" s="99">
        <f t="shared" ca="1" si="10"/>
        <v>9.8821030060171999</v>
      </c>
      <c r="R32" s="99">
        <f t="shared" ca="1" si="10"/>
        <v>9.8821029955874522</v>
      </c>
      <c r="S32" s="99">
        <f t="shared" ca="1" si="10"/>
        <v>9.8821029851577045</v>
      </c>
      <c r="T32" s="99">
        <f t="shared" ca="1" si="10"/>
        <v>9.882102974727955</v>
      </c>
      <c r="U32" s="99">
        <f t="shared" ca="1" si="10"/>
        <v>9.8821029642982072</v>
      </c>
      <c r="V32" s="99">
        <f t="shared" ca="1" si="10"/>
        <v>9.8821029538684595</v>
      </c>
      <c r="W32" s="99">
        <f t="shared" ca="1" si="10"/>
        <v>9.88210294343871</v>
      </c>
      <c r="X32" s="99">
        <f t="shared" ca="1" si="10"/>
        <v>9.8821029330089623</v>
      </c>
      <c r="Y32" s="99">
        <f t="shared" ca="1" si="10"/>
        <v>9.8821029225792127</v>
      </c>
      <c r="Z32" s="99">
        <f t="shared" ca="1" si="10"/>
        <v>9.8821029121494632</v>
      </c>
      <c r="AA32" s="99">
        <f t="shared" ca="1" si="10"/>
        <v>9.8821029017197137</v>
      </c>
      <c r="AB32" s="99">
        <f t="shared" ca="1" si="10"/>
        <v>9.8821028912899642</v>
      </c>
      <c r="AC32" s="99">
        <f t="shared" ca="1" si="10"/>
        <v>9.8821028808602147</v>
      </c>
      <c r="AD32" s="99">
        <f t="shared" ca="1" si="10"/>
        <v>9.8821028704304652</v>
      </c>
      <c r="AE32" s="99">
        <f t="shared" ca="1" si="10"/>
        <v>9.8821028600007157</v>
      </c>
      <c r="AF32" s="99">
        <f t="shared" ca="1" si="10"/>
        <v>9.8821028495709662</v>
      </c>
      <c r="AG32" s="99">
        <f t="shared" ca="1" si="10"/>
        <v>9.8821028391412185</v>
      </c>
      <c r="AH32" s="99">
        <f t="shared" ca="1" si="10"/>
        <v>9.8821028287114689</v>
      </c>
      <c r="AI32" s="99">
        <f t="shared" ca="1" si="10"/>
        <v>9.8821028182817194</v>
      </c>
      <c r="AJ32" s="99">
        <f t="shared" ca="1" si="10"/>
        <v>9.8821028078519717</v>
      </c>
      <c r="AK32" s="99">
        <f t="shared" ca="1" si="10"/>
        <v>9.8821027974222222</v>
      </c>
      <c r="AL32" s="99">
        <f t="shared" ca="1" si="10"/>
        <v>9.8821027869924745</v>
      </c>
      <c r="AM32" s="99">
        <f t="shared" ca="1" si="10"/>
        <v>9.882102776562725</v>
      </c>
      <c r="AN32" s="99">
        <f t="shared" ca="1" si="10"/>
        <v>9.8821027661329754</v>
      </c>
      <c r="AO32" s="99">
        <f t="shared" ca="1" si="10"/>
        <v>9.8821027557032277</v>
      </c>
      <c r="AP32" s="99">
        <f t="shared" ca="1" si="10"/>
        <v>9.8821027452734782</v>
      </c>
      <c r="AQ32" s="99">
        <f t="shared" ca="1" si="10"/>
        <v>9.8821027348437287</v>
      </c>
      <c r="AR32" s="99">
        <f t="shared" ca="1" si="10"/>
        <v>9.8821027244139792</v>
      </c>
      <c r="AS32" s="99">
        <f t="shared" ca="1" si="10"/>
        <v>9.8821027139842297</v>
      </c>
      <c r="AT32" s="99">
        <f t="shared" ca="1" si="10"/>
        <v>9.8821027035544784</v>
      </c>
      <c r="AU32" s="99">
        <f t="shared" ca="1" si="10"/>
        <v>9.8821026931247289</v>
      </c>
      <c r="AV32" s="99">
        <f t="shared" ca="1" si="10"/>
        <v>9.8821026826949812</v>
      </c>
      <c r="AW32" s="99">
        <f t="shared" ca="1" si="10"/>
        <v>9.8821026722652316</v>
      </c>
      <c r="AX32" s="99">
        <f t="shared" ca="1" si="10"/>
        <v>9.8821026618354839</v>
      </c>
      <c r="AY32" s="99">
        <f t="shared" ca="1" si="10"/>
        <v>9.8821026514057344</v>
      </c>
      <c r="AZ32" s="99">
        <f t="shared" ca="1" si="10"/>
        <v>9.8821026409759849</v>
      </c>
      <c r="BA32" s="99">
        <f t="shared" ca="1" si="10"/>
        <v>9.8821026305462372</v>
      </c>
      <c r="BB32" s="99">
        <f t="shared" ca="1" si="10"/>
        <v>9.8821026201164877</v>
      </c>
      <c r="BC32" s="99">
        <f t="shared" ca="1" si="10"/>
        <v>9.8821026096867381</v>
      </c>
      <c r="BD32" s="99">
        <f t="shared" ca="1" si="10"/>
        <v>9.8821025992569886</v>
      </c>
      <c r="BE32" s="99">
        <f t="shared" ca="1" si="10"/>
        <v>9.8821025888272391</v>
      </c>
      <c r="BF32" s="96">
        <f ca="1">EXP(Workings!$B$16*'PDE 2'!F32+Workings!$B$17*'PDE 2'!$BE$2)*BE32</f>
        <v>146.11101357924835</v>
      </c>
    </row>
    <row r="33" spans="1:58" x14ac:dyDescent="0.25">
      <c r="A33" s="104">
        <f t="shared" ca="1" si="9"/>
        <v>1.2092250358784495E-3</v>
      </c>
      <c r="B33" s="99" cm="1">
        <f t="array" ref="B33">black76(1,Workings!$B$7,E33*Workings!$B$20,Workings!$B$5,Workings!$B$1,Workings!$B$1+2/365,Workings!$B$8)</f>
        <v>166.75600869953738</v>
      </c>
      <c r="C33" s="99">
        <f t="shared" ca="1" si="11"/>
        <v>166.07109976969571</v>
      </c>
      <c r="D33" s="86">
        <v>27</v>
      </c>
      <c r="E33" s="99">
        <f t="shared" ref="E33:E56" si="12">E32+20</f>
        <v>566.40319999999997</v>
      </c>
      <c r="F33" s="99">
        <f t="shared" si="1"/>
        <v>6.3393061920810645</v>
      </c>
      <c r="G33" s="64">
        <f>MAX(EXP($F33)-Workings!$B$7,0)*EXP(-Workings!$B$16*'PDE 2'!$F33)</f>
        <v>11.060730079999816</v>
      </c>
      <c r="H33" s="99">
        <f t="shared" ca="1" si="4"/>
        <v>11.06073007031844</v>
      </c>
      <c r="I33" s="99">
        <f t="shared" ca="1" si="10"/>
        <v>11.060730060637063</v>
      </c>
      <c r="J33" s="99">
        <f t="shared" ca="1" si="10"/>
        <v>11.060730050955689</v>
      </c>
      <c r="K33" s="99">
        <f t="shared" ca="1" si="10"/>
        <v>11.060730041274313</v>
      </c>
      <c r="L33" s="99">
        <f t="shared" ca="1" si="10"/>
        <v>11.060730031592938</v>
      </c>
      <c r="M33" s="99">
        <f t="shared" ca="1" si="10"/>
        <v>11.060730021911562</v>
      </c>
      <c r="N33" s="99">
        <f t="shared" ca="1" si="10"/>
        <v>11.060730012230186</v>
      </c>
      <c r="O33" s="99">
        <f t="shared" ca="1" si="10"/>
        <v>11.06073000254881</v>
      </c>
      <c r="P33" s="99">
        <f t="shared" ca="1" si="10"/>
        <v>11.060729992867437</v>
      </c>
      <c r="Q33" s="99">
        <f t="shared" ca="1" si="10"/>
        <v>11.060729983186061</v>
      </c>
      <c r="R33" s="99">
        <f t="shared" ca="1" si="10"/>
        <v>11.060729973504683</v>
      </c>
      <c r="S33" s="99">
        <f t="shared" ca="1" si="10"/>
        <v>11.060729963823308</v>
      </c>
      <c r="T33" s="99">
        <f t="shared" ca="1" si="10"/>
        <v>11.060729954141932</v>
      </c>
      <c r="U33" s="99">
        <f t="shared" ca="1" si="10"/>
        <v>11.060729944460556</v>
      </c>
      <c r="V33" s="99">
        <f t="shared" ca="1" si="10"/>
        <v>11.060729934779181</v>
      </c>
      <c r="W33" s="99">
        <f t="shared" ca="1" si="10"/>
        <v>11.060729925097805</v>
      </c>
      <c r="X33" s="99">
        <f t="shared" ca="1" si="10"/>
        <v>11.060729915416429</v>
      </c>
      <c r="Y33" s="99">
        <f t="shared" ref="I33:BE38" ca="1" si="13">$E$3*(X32)+(1-2*$E$3)*X33+$E$3*X34</f>
        <v>11.060729905735055</v>
      </c>
      <c r="Z33" s="99">
        <f t="shared" ca="1" si="13"/>
        <v>11.06072989605368</v>
      </c>
      <c r="AA33" s="99">
        <f t="shared" ca="1" si="13"/>
        <v>11.060729886372304</v>
      </c>
      <c r="AB33" s="99">
        <f t="shared" ca="1" si="13"/>
        <v>11.060729876690926</v>
      </c>
      <c r="AC33" s="99">
        <f t="shared" ca="1" si="13"/>
        <v>11.060729867009551</v>
      </c>
      <c r="AD33" s="99">
        <f t="shared" ca="1" si="13"/>
        <v>11.060729857328175</v>
      </c>
      <c r="AE33" s="99">
        <f t="shared" ca="1" si="13"/>
        <v>11.060729847646797</v>
      </c>
      <c r="AF33" s="99">
        <f t="shared" ca="1" si="13"/>
        <v>11.060729837965422</v>
      </c>
      <c r="AG33" s="99">
        <f t="shared" ca="1" si="13"/>
        <v>11.060729828284044</v>
      </c>
      <c r="AH33" s="99">
        <f t="shared" ca="1" si="13"/>
        <v>11.060729818602669</v>
      </c>
      <c r="AI33" s="99">
        <f t="shared" ca="1" si="13"/>
        <v>11.060729808921293</v>
      </c>
      <c r="AJ33" s="99">
        <f t="shared" ca="1" si="13"/>
        <v>11.060729799239917</v>
      </c>
      <c r="AK33" s="99">
        <f t="shared" ca="1" si="13"/>
        <v>11.06072978955854</v>
      </c>
      <c r="AL33" s="99">
        <f t="shared" ca="1" si="13"/>
        <v>11.060729779877164</v>
      </c>
      <c r="AM33" s="99">
        <f t="shared" ca="1" si="13"/>
        <v>11.060729770195788</v>
      </c>
      <c r="AN33" s="99">
        <f t="shared" ca="1" si="13"/>
        <v>11.060729760514411</v>
      </c>
      <c r="AO33" s="99">
        <f t="shared" ca="1" si="13"/>
        <v>11.060729750833035</v>
      </c>
      <c r="AP33" s="99">
        <f t="shared" ca="1" si="13"/>
        <v>11.060729741151658</v>
      </c>
      <c r="AQ33" s="99">
        <f t="shared" ca="1" si="13"/>
        <v>11.060729731470282</v>
      </c>
      <c r="AR33" s="99">
        <f t="shared" ca="1" si="13"/>
        <v>11.060729721788906</v>
      </c>
      <c r="AS33" s="99">
        <f t="shared" ca="1" si="13"/>
        <v>11.060729712107531</v>
      </c>
      <c r="AT33" s="99">
        <f t="shared" ca="1" si="13"/>
        <v>11.060729702426153</v>
      </c>
      <c r="AU33" s="99">
        <f t="shared" ca="1" si="13"/>
        <v>11.060729692744777</v>
      </c>
      <c r="AV33" s="99">
        <f t="shared" ca="1" si="13"/>
        <v>11.060729683063402</v>
      </c>
      <c r="AW33" s="99">
        <f t="shared" ca="1" si="13"/>
        <v>11.060729673382026</v>
      </c>
      <c r="AX33" s="99">
        <f t="shared" ca="1" si="13"/>
        <v>11.06072966370065</v>
      </c>
      <c r="AY33" s="99">
        <f t="shared" ca="1" si="13"/>
        <v>11.060729654019273</v>
      </c>
      <c r="AZ33" s="99">
        <f t="shared" ca="1" si="13"/>
        <v>11.060729644337895</v>
      </c>
      <c r="BA33" s="99">
        <f t="shared" ca="1" si="13"/>
        <v>11.06072963465652</v>
      </c>
      <c r="BB33" s="99">
        <f t="shared" ca="1" si="13"/>
        <v>11.060729624975144</v>
      </c>
      <c r="BC33" s="99">
        <f t="shared" ca="1" si="13"/>
        <v>11.060729615293766</v>
      </c>
      <c r="BD33" s="99">
        <f t="shared" ca="1" si="13"/>
        <v>11.060729605612391</v>
      </c>
      <c r="BE33" s="99">
        <f t="shared" ca="1" si="13"/>
        <v>11.060729595931013</v>
      </c>
      <c r="BF33" s="96">
        <f ca="1">EXP(Workings!$B$16*'PDE 2'!F33+Workings!$B$17*'PDE 2'!$BE$2)*BE33</f>
        <v>166.07109976969571</v>
      </c>
    </row>
    <row r="34" spans="1:58" x14ac:dyDescent="0.25">
      <c r="A34" s="104">
        <f t="shared" ca="1" si="9"/>
        <v>1.2360484745094701E-3</v>
      </c>
      <c r="B34" s="99" cm="1">
        <f t="array" ref="B34">black76(1,Workings!$B$7,E34*Workings!$B$20,Workings!$B$5,Workings!$B$1,Workings!$B$1+2/365,Workings!$B$8)</f>
        <v>186.75600869953738</v>
      </c>
      <c r="C34" s="99">
        <f t="shared" ca="1" si="11"/>
        <v>186.0311859187299</v>
      </c>
      <c r="D34" s="86">
        <v>28</v>
      </c>
      <c r="E34" s="99">
        <f t="shared" si="12"/>
        <v>586.40319999999997</v>
      </c>
      <c r="F34" s="99">
        <f t="shared" si="1"/>
        <v>6.3740076075834731</v>
      </c>
      <c r="G34" s="64">
        <f>MAX(EXP($F34)-Workings!$B$7,0)*EXP(-Workings!$B$16*'PDE 2'!$F34)</f>
        <v>12.207606104027278</v>
      </c>
      <c r="H34" s="99">
        <f t="shared" ca="1" si="4"/>
        <v>12.207606095014738</v>
      </c>
      <c r="I34" s="99">
        <f t="shared" ca="1" si="13"/>
        <v>12.207606086002199</v>
      </c>
      <c r="J34" s="99">
        <f t="shared" ca="1" si="13"/>
        <v>12.207606076989659</v>
      </c>
      <c r="K34" s="99">
        <f t="shared" ca="1" si="13"/>
        <v>12.207606067977119</v>
      </c>
      <c r="L34" s="99">
        <f t="shared" ca="1" si="13"/>
        <v>12.207606058964579</v>
      </c>
      <c r="M34" s="99">
        <f t="shared" ca="1" si="13"/>
        <v>12.207606049952039</v>
      </c>
      <c r="N34" s="99">
        <f t="shared" ca="1" si="13"/>
        <v>12.207606040939497</v>
      </c>
      <c r="O34" s="99">
        <f t="shared" ca="1" si="13"/>
        <v>12.207606031926957</v>
      </c>
      <c r="P34" s="99">
        <f t="shared" ca="1" si="13"/>
        <v>12.207606022914417</v>
      </c>
      <c r="Q34" s="99">
        <f t="shared" ca="1" si="13"/>
        <v>12.207606013901877</v>
      </c>
      <c r="R34" s="99">
        <f t="shared" ca="1" si="13"/>
        <v>12.207606004889339</v>
      </c>
      <c r="S34" s="99">
        <f t="shared" ca="1" si="13"/>
        <v>12.207605995876799</v>
      </c>
      <c r="T34" s="99">
        <f t="shared" ca="1" si="13"/>
        <v>12.207605986864259</v>
      </c>
      <c r="U34" s="99">
        <f t="shared" ca="1" si="13"/>
        <v>12.207605977851719</v>
      </c>
      <c r="V34" s="99">
        <f t="shared" ca="1" si="13"/>
        <v>12.207605968839179</v>
      </c>
      <c r="W34" s="99">
        <f t="shared" ca="1" si="13"/>
        <v>12.207605959826637</v>
      </c>
      <c r="X34" s="99">
        <f t="shared" ca="1" si="13"/>
        <v>12.207605950814097</v>
      </c>
      <c r="Y34" s="99">
        <f t="shared" ca="1" si="13"/>
        <v>12.207605941801555</v>
      </c>
      <c r="Z34" s="99">
        <f t="shared" ca="1" si="13"/>
        <v>12.207605932789015</v>
      </c>
      <c r="AA34" s="99">
        <f t="shared" ca="1" si="13"/>
        <v>12.207605923776477</v>
      </c>
      <c r="AB34" s="99">
        <f t="shared" ca="1" si="13"/>
        <v>12.207605914763937</v>
      </c>
      <c r="AC34" s="99">
        <f t="shared" ca="1" si="13"/>
        <v>12.207605905751397</v>
      </c>
      <c r="AD34" s="99">
        <f t="shared" ca="1" si="13"/>
        <v>12.207605896738857</v>
      </c>
      <c r="AE34" s="99">
        <f t="shared" ca="1" si="13"/>
        <v>12.207605887726316</v>
      </c>
      <c r="AF34" s="99">
        <f t="shared" ca="1" si="13"/>
        <v>12.207605878713775</v>
      </c>
      <c r="AG34" s="99">
        <f t="shared" ca="1" si="13"/>
        <v>12.207605869701235</v>
      </c>
      <c r="AH34" s="99">
        <f t="shared" ca="1" si="13"/>
        <v>12.207605860688693</v>
      </c>
      <c r="AI34" s="99">
        <f t="shared" ca="1" si="13"/>
        <v>12.207605851676151</v>
      </c>
      <c r="AJ34" s="99">
        <f t="shared" ca="1" si="13"/>
        <v>12.207605842663611</v>
      </c>
      <c r="AK34" s="99">
        <f t="shared" ca="1" si="13"/>
        <v>12.207605833651071</v>
      </c>
      <c r="AL34" s="99">
        <f t="shared" ca="1" si="13"/>
        <v>12.207605824638533</v>
      </c>
      <c r="AM34" s="99">
        <f t="shared" ca="1" si="13"/>
        <v>12.207605815625993</v>
      </c>
      <c r="AN34" s="99">
        <f t="shared" ca="1" si="13"/>
        <v>12.207605806613453</v>
      </c>
      <c r="AO34" s="99">
        <f t="shared" ca="1" si="13"/>
        <v>12.207605797600912</v>
      </c>
      <c r="AP34" s="99">
        <f t="shared" ca="1" si="13"/>
        <v>12.207605788588372</v>
      </c>
      <c r="AQ34" s="99">
        <f t="shared" ca="1" si="13"/>
        <v>12.207605779575831</v>
      </c>
      <c r="AR34" s="99">
        <f t="shared" ca="1" si="13"/>
        <v>12.207605770563291</v>
      </c>
      <c r="AS34" s="99">
        <f t="shared" ca="1" si="13"/>
        <v>12.207605761550751</v>
      </c>
      <c r="AT34" s="99">
        <f t="shared" ca="1" si="13"/>
        <v>12.207605752538209</v>
      </c>
      <c r="AU34" s="99">
        <f t="shared" ca="1" si="13"/>
        <v>12.207605743525669</v>
      </c>
      <c r="AV34" s="99">
        <f t="shared" ca="1" si="13"/>
        <v>12.207605734513129</v>
      </c>
      <c r="AW34" s="99">
        <f t="shared" ca="1" si="13"/>
        <v>12.207605725500589</v>
      </c>
      <c r="AX34" s="99">
        <f t="shared" ca="1" si="13"/>
        <v>12.207605716488048</v>
      </c>
      <c r="AY34" s="99">
        <f t="shared" ca="1" si="13"/>
        <v>12.207605707475508</v>
      </c>
      <c r="AZ34" s="99">
        <f t="shared" ca="1" si="13"/>
        <v>12.207605698462967</v>
      </c>
      <c r="BA34" s="99">
        <f t="shared" ca="1" si="13"/>
        <v>12.207605689450427</v>
      </c>
      <c r="BB34" s="99">
        <f t="shared" ca="1" si="13"/>
        <v>12.207605680437887</v>
      </c>
      <c r="BC34" s="99">
        <f t="shared" ca="1" si="13"/>
        <v>12.207605671425345</v>
      </c>
      <c r="BD34" s="99">
        <f t="shared" ca="1" si="13"/>
        <v>12.207605662412805</v>
      </c>
      <c r="BE34" s="99">
        <f t="shared" ca="1" si="13"/>
        <v>12.207605653400263</v>
      </c>
      <c r="BF34" s="96">
        <f ca="1">EXP(Workings!$B$16*'PDE 2'!F34+Workings!$B$17*'PDE 2'!$BE$2)*BE34</f>
        <v>186.0311859187299</v>
      </c>
    </row>
    <row r="35" spans="1:58" x14ac:dyDescent="0.25">
      <c r="A35" s="104">
        <f t="shared" ca="1" si="9"/>
        <v>1.2611026261237972E-3</v>
      </c>
      <c r="B35" s="99" cm="1">
        <f t="array" ref="B35">black76(1,Workings!$B$7,E35*Workings!$B$20,Workings!$B$5,Workings!$B$1,Workings!$B$1+2/365,Workings!$B$8)</f>
        <v>206.75600869953738</v>
      </c>
      <c r="C35" s="99">
        <f t="shared" ca="1" si="11"/>
        <v>205.9912720315275</v>
      </c>
      <c r="D35" s="86">
        <v>29</v>
      </c>
      <c r="E35" s="99">
        <f t="shared" si="12"/>
        <v>606.40319999999997</v>
      </c>
      <c r="F35" s="99">
        <f t="shared" si="1"/>
        <v>6.4075451113590933</v>
      </c>
      <c r="G35" s="64">
        <f>MAX(EXP($F35)-Workings!$B$7,0)*EXP(-Workings!$B$16*'PDE 2'!$F35)</f>
        <v>13.324924689932608</v>
      </c>
      <c r="H35" s="99">
        <f t="shared" ca="1" si="4"/>
        <v>13.324924681520256</v>
      </c>
      <c r="I35" s="99">
        <f t="shared" ca="1" si="13"/>
        <v>13.324924673107905</v>
      </c>
      <c r="J35" s="99">
        <f t="shared" ca="1" si="13"/>
        <v>13.324924664695553</v>
      </c>
      <c r="K35" s="99">
        <f t="shared" ca="1" si="13"/>
        <v>13.3249246562832</v>
      </c>
      <c r="L35" s="99">
        <f t="shared" ca="1" si="13"/>
        <v>13.324924647870848</v>
      </c>
      <c r="M35" s="99">
        <f t="shared" ca="1" si="13"/>
        <v>13.324924639458496</v>
      </c>
      <c r="N35" s="99">
        <f t="shared" ca="1" si="13"/>
        <v>13.324924631046144</v>
      </c>
      <c r="O35" s="99">
        <f t="shared" ca="1" si="13"/>
        <v>13.324924622633793</v>
      </c>
      <c r="P35" s="99">
        <f t="shared" ca="1" si="13"/>
        <v>13.324924614221443</v>
      </c>
      <c r="Q35" s="99">
        <f t="shared" ca="1" si="13"/>
        <v>13.324924605809091</v>
      </c>
      <c r="R35" s="99">
        <f t="shared" ca="1" si="13"/>
        <v>13.324924597396739</v>
      </c>
      <c r="S35" s="99">
        <f t="shared" ca="1" si="13"/>
        <v>13.324924588984388</v>
      </c>
      <c r="T35" s="99">
        <f t="shared" ca="1" si="13"/>
        <v>13.324924580572034</v>
      </c>
      <c r="U35" s="99">
        <f t="shared" ca="1" si="13"/>
        <v>13.324924572159683</v>
      </c>
      <c r="V35" s="99">
        <f t="shared" ca="1" si="13"/>
        <v>13.324924563747331</v>
      </c>
      <c r="W35" s="99">
        <f t="shared" ca="1" si="13"/>
        <v>13.324924555334979</v>
      </c>
      <c r="X35" s="99">
        <f t="shared" ca="1" si="13"/>
        <v>13.324924546922627</v>
      </c>
      <c r="Y35" s="99">
        <f t="shared" ca="1" si="13"/>
        <v>13.324924538510276</v>
      </c>
      <c r="Z35" s="99">
        <f t="shared" ca="1" si="13"/>
        <v>13.324924530097924</v>
      </c>
      <c r="AA35" s="99">
        <f t="shared" ca="1" si="13"/>
        <v>13.324924521685574</v>
      </c>
      <c r="AB35" s="99">
        <f t="shared" ca="1" si="13"/>
        <v>13.324924513273221</v>
      </c>
      <c r="AC35" s="99">
        <f t="shared" ca="1" si="13"/>
        <v>13.324924504860867</v>
      </c>
      <c r="AD35" s="99">
        <f t="shared" ca="1" si="13"/>
        <v>13.324924496448515</v>
      </c>
      <c r="AE35" s="99">
        <f t="shared" ca="1" si="13"/>
        <v>13.324924488036162</v>
      </c>
      <c r="AF35" s="99">
        <f t="shared" ca="1" si="13"/>
        <v>13.32492447962381</v>
      </c>
      <c r="AG35" s="99">
        <f t="shared" ca="1" si="13"/>
        <v>13.324924471211459</v>
      </c>
      <c r="AH35" s="99">
        <f t="shared" ca="1" si="13"/>
        <v>13.324924462799107</v>
      </c>
      <c r="AI35" s="99">
        <f t="shared" ca="1" si="13"/>
        <v>13.324924454386755</v>
      </c>
      <c r="AJ35" s="99">
        <f t="shared" ca="1" si="13"/>
        <v>13.324924445974405</v>
      </c>
      <c r="AK35" s="99">
        <f t="shared" ca="1" si="13"/>
        <v>13.324924437562052</v>
      </c>
      <c r="AL35" s="99">
        <f t="shared" ca="1" si="13"/>
        <v>13.3249244291497</v>
      </c>
      <c r="AM35" s="99">
        <f t="shared" ca="1" si="13"/>
        <v>13.324924420737348</v>
      </c>
      <c r="AN35" s="99">
        <f t="shared" ca="1" si="13"/>
        <v>13.324924412324995</v>
      </c>
      <c r="AO35" s="99">
        <f t="shared" ca="1" si="13"/>
        <v>13.324924403912643</v>
      </c>
      <c r="AP35" s="99">
        <f t="shared" ca="1" si="13"/>
        <v>13.324924395500291</v>
      </c>
      <c r="AQ35" s="99">
        <f t="shared" ca="1" si="13"/>
        <v>13.32492438708794</v>
      </c>
      <c r="AR35" s="99">
        <f t="shared" ca="1" si="13"/>
        <v>13.324924378675588</v>
      </c>
      <c r="AS35" s="99">
        <f t="shared" ca="1" si="13"/>
        <v>13.324924370263236</v>
      </c>
      <c r="AT35" s="99">
        <f t="shared" ca="1" si="13"/>
        <v>13.324924361850883</v>
      </c>
      <c r="AU35" s="99">
        <f t="shared" ca="1" si="13"/>
        <v>13.324924353438531</v>
      </c>
      <c r="AV35" s="99">
        <f t="shared" ca="1" si="13"/>
        <v>13.324924345026178</v>
      </c>
      <c r="AW35" s="99">
        <f t="shared" ca="1" si="13"/>
        <v>13.324924336613826</v>
      </c>
      <c r="AX35" s="99">
        <f t="shared" ca="1" si="13"/>
        <v>13.324924328201474</v>
      </c>
      <c r="AY35" s="99">
        <f t="shared" ca="1" si="13"/>
        <v>13.324924319789121</v>
      </c>
      <c r="AZ35" s="99">
        <f t="shared" ca="1" si="13"/>
        <v>13.324924311376769</v>
      </c>
      <c r="BA35" s="99">
        <f t="shared" ca="1" si="13"/>
        <v>13.324924302964417</v>
      </c>
      <c r="BB35" s="99">
        <f t="shared" ca="1" si="13"/>
        <v>13.324924294552066</v>
      </c>
      <c r="BC35" s="99">
        <f t="shared" ca="1" si="13"/>
        <v>13.324924286139712</v>
      </c>
      <c r="BD35" s="99">
        <f t="shared" ca="1" si="13"/>
        <v>13.32492427772736</v>
      </c>
      <c r="BE35" s="99">
        <f t="shared" ca="1" si="13"/>
        <v>13.324924269315007</v>
      </c>
      <c r="BF35" s="96">
        <f ca="1">EXP(Workings!$B$16*'PDE 2'!F35+Workings!$B$17*'PDE 2'!$BE$2)*BE35</f>
        <v>205.9912720315275</v>
      </c>
    </row>
    <row r="36" spans="1:58" x14ac:dyDescent="0.25">
      <c r="A36" s="104">
        <f t="shared" ca="1" si="9"/>
        <v>1.2845569547977795E-3</v>
      </c>
      <c r="B36" s="99" cm="1">
        <f t="array" ref="B36">black76(1,Workings!$B$7,E36*Workings!$B$20,Workings!$B$5,Workings!$B$1,Workings!$B$1+2/365,Workings!$B$8)</f>
        <v>226.75600869953738</v>
      </c>
      <c r="C36" s="99">
        <f t="shared" ca="1" si="11"/>
        <v>225.95135811246979</v>
      </c>
      <c r="D36" s="86">
        <v>30</v>
      </c>
      <c r="E36" s="99">
        <f t="shared" si="12"/>
        <v>626.40319999999997</v>
      </c>
      <c r="F36" s="99">
        <f t="shared" si="1"/>
        <v>6.4399942532203776</v>
      </c>
      <c r="G36" s="64">
        <f>MAX(EXP($F36)-Workings!$B$7,0)*EXP(-Workings!$B$16*'PDE 2'!$F36)</f>
        <v>14.414654209522229</v>
      </c>
      <c r="H36" s="99">
        <f t="shared" ca="1" si="4"/>
        <v>14.414654201650512</v>
      </c>
      <c r="I36" s="99">
        <f t="shared" ca="1" si="13"/>
        <v>14.414654193778794</v>
      </c>
      <c r="J36" s="99">
        <f t="shared" ca="1" si="13"/>
        <v>14.414654185907077</v>
      </c>
      <c r="K36" s="99">
        <f t="shared" ca="1" si="13"/>
        <v>14.414654178035359</v>
      </c>
      <c r="L36" s="99">
        <f t="shared" ca="1" si="13"/>
        <v>14.414654170163642</v>
      </c>
      <c r="M36" s="99">
        <f t="shared" ca="1" si="13"/>
        <v>14.414654162291924</v>
      </c>
      <c r="N36" s="99">
        <f t="shared" ca="1" si="13"/>
        <v>14.414654154420207</v>
      </c>
      <c r="O36" s="99">
        <f t="shared" ca="1" si="13"/>
        <v>14.414654146548489</v>
      </c>
      <c r="P36" s="99">
        <f t="shared" ca="1" si="13"/>
        <v>14.41465413867677</v>
      </c>
      <c r="Q36" s="99">
        <f t="shared" ca="1" si="13"/>
        <v>14.414654130805053</v>
      </c>
      <c r="R36" s="99">
        <f t="shared" ca="1" si="13"/>
        <v>14.414654122933337</v>
      </c>
      <c r="S36" s="99">
        <f t="shared" ca="1" si="13"/>
        <v>14.414654115061618</v>
      </c>
      <c r="T36" s="99">
        <f t="shared" ca="1" si="13"/>
        <v>14.4146541071899</v>
      </c>
      <c r="U36" s="99">
        <f t="shared" ca="1" si="13"/>
        <v>14.414654099318183</v>
      </c>
      <c r="V36" s="99">
        <f t="shared" ca="1" si="13"/>
        <v>14.414654091446467</v>
      </c>
      <c r="W36" s="99">
        <f t="shared" ca="1" si="13"/>
        <v>14.414654083574748</v>
      </c>
      <c r="X36" s="99">
        <f t="shared" ca="1" si="13"/>
        <v>14.41465407570303</v>
      </c>
      <c r="Y36" s="99">
        <f t="shared" ca="1" si="13"/>
        <v>14.414654067831313</v>
      </c>
      <c r="Z36" s="99">
        <f t="shared" ca="1" si="13"/>
        <v>14.414654059959593</v>
      </c>
      <c r="AA36" s="99">
        <f t="shared" ca="1" si="13"/>
        <v>14.414654052087876</v>
      </c>
      <c r="AB36" s="99">
        <f t="shared" ca="1" si="13"/>
        <v>14.414654044216158</v>
      </c>
      <c r="AC36" s="99">
        <f t="shared" ca="1" si="13"/>
        <v>14.414654036344441</v>
      </c>
      <c r="AD36" s="99">
        <f t="shared" ca="1" si="13"/>
        <v>14.414654028472722</v>
      </c>
      <c r="AE36" s="99">
        <f t="shared" ca="1" si="13"/>
        <v>14.414654020601004</v>
      </c>
      <c r="AF36" s="99">
        <f t="shared" ca="1" si="13"/>
        <v>14.414654012729287</v>
      </c>
      <c r="AG36" s="99">
        <f t="shared" ca="1" si="13"/>
        <v>14.414654004857569</v>
      </c>
      <c r="AH36" s="99">
        <f t="shared" ca="1" si="13"/>
        <v>14.41465399698585</v>
      </c>
      <c r="AI36" s="99">
        <f t="shared" ca="1" si="13"/>
        <v>14.414653989114132</v>
      </c>
      <c r="AJ36" s="99">
        <f t="shared" ca="1" si="13"/>
        <v>14.414653981242415</v>
      </c>
      <c r="AK36" s="99">
        <f t="shared" ca="1" si="13"/>
        <v>14.414653973370697</v>
      </c>
      <c r="AL36" s="99">
        <f t="shared" ca="1" si="13"/>
        <v>14.41465396549898</v>
      </c>
      <c r="AM36" s="99">
        <f t="shared" ca="1" si="13"/>
        <v>14.414653957627261</v>
      </c>
      <c r="AN36" s="99">
        <f t="shared" ca="1" si="13"/>
        <v>14.414653949755543</v>
      </c>
      <c r="AO36" s="99">
        <f t="shared" ca="1" si="13"/>
        <v>14.414653941883824</v>
      </c>
      <c r="AP36" s="99">
        <f t="shared" ca="1" si="13"/>
        <v>14.414653934012106</v>
      </c>
      <c r="AQ36" s="99">
        <f t="shared" ca="1" si="13"/>
        <v>14.414653926140387</v>
      </c>
      <c r="AR36" s="99">
        <f t="shared" ca="1" si="13"/>
        <v>14.414653918268669</v>
      </c>
      <c r="AS36" s="99">
        <f t="shared" ca="1" si="13"/>
        <v>14.414653910396952</v>
      </c>
      <c r="AT36" s="99">
        <f t="shared" ca="1" si="13"/>
        <v>14.414653902525233</v>
      </c>
      <c r="AU36" s="99">
        <f t="shared" ca="1" si="13"/>
        <v>14.414653894653515</v>
      </c>
      <c r="AV36" s="99">
        <f t="shared" ca="1" si="13"/>
        <v>14.414653886781798</v>
      </c>
      <c r="AW36" s="99">
        <f t="shared" ca="1" si="13"/>
        <v>14.41465387891008</v>
      </c>
      <c r="AX36" s="99">
        <f t="shared" ca="1" si="13"/>
        <v>14.414653871038361</v>
      </c>
      <c r="AY36" s="99">
        <f t="shared" ca="1" si="13"/>
        <v>14.414653863166643</v>
      </c>
      <c r="AZ36" s="99">
        <f t="shared" ca="1" si="13"/>
        <v>14.414653855294926</v>
      </c>
      <c r="BA36" s="99">
        <f t="shared" ca="1" si="13"/>
        <v>14.414653847423207</v>
      </c>
      <c r="BB36" s="99">
        <f t="shared" ca="1" si="13"/>
        <v>14.414653839551489</v>
      </c>
      <c r="BC36" s="99">
        <f t="shared" ca="1" si="13"/>
        <v>14.414653831679772</v>
      </c>
      <c r="BD36" s="99">
        <f t="shared" ca="1" si="13"/>
        <v>14.414653823808052</v>
      </c>
      <c r="BE36" s="99">
        <f t="shared" ca="1" si="13"/>
        <v>14.414653815936333</v>
      </c>
      <c r="BF36" s="96">
        <f ca="1">EXP(Workings!$B$16*'PDE 2'!F36+Workings!$B$17*'PDE 2'!$BE$2)*BE36</f>
        <v>225.95135811246979</v>
      </c>
    </row>
    <row r="37" spans="1:58" x14ac:dyDescent="0.25">
      <c r="A37" s="104">
        <f t="shared" ca="1" si="9"/>
        <v>1.3065599524432028E-3</v>
      </c>
      <c r="B37" s="99" cm="1">
        <f t="array" ref="B37">black76(1,Workings!$B$7,E37*Workings!$B$20,Workings!$B$5,Workings!$B$1,Workings!$B$1+2/365,Workings!$B$8)</f>
        <v>246.75600869953738</v>
      </c>
      <c r="C37" s="99">
        <f t="shared" ca="1" si="11"/>
        <v>245.91144416528624</v>
      </c>
      <c r="D37" s="86">
        <v>31</v>
      </c>
      <c r="E37" s="99">
        <f t="shared" si="12"/>
        <v>646.40319999999997</v>
      </c>
      <c r="F37" s="99">
        <f t="shared" si="1"/>
        <v>6.4714234576896814</v>
      </c>
      <c r="G37" s="64">
        <f>MAX(EXP($F37)-Workings!$B$7,0)*EXP(-Workings!$B$16*'PDE 2'!$F37)</f>
        <v>15.478567721123886</v>
      </c>
      <c r="H37" s="99">
        <f t="shared" ca="1" si="4"/>
        <v>15.478567713740887</v>
      </c>
      <c r="I37" s="99">
        <f t="shared" ca="1" si="13"/>
        <v>15.478567706357889</v>
      </c>
      <c r="J37" s="99">
        <f t="shared" ca="1" si="13"/>
        <v>15.478567698974892</v>
      </c>
      <c r="K37" s="99">
        <f t="shared" ca="1" si="13"/>
        <v>15.478567691591895</v>
      </c>
      <c r="L37" s="99">
        <f t="shared" ca="1" si="13"/>
        <v>15.478567684208898</v>
      </c>
      <c r="M37" s="99">
        <f t="shared" ca="1" si="13"/>
        <v>15.4785676768259</v>
      </c>
      <c r="N37" s="99">
        <f t="shared" ca="1" si="13"/>
        <v>15.478567669442901</v>
      </c>
      <c r="O37" s="99">
        <f t="shared" ca="1" si="13"/>
        <v>15.478567662059904</v>
      </c>
      <c r="P37" s="99">
        <f t="shared" ca="1" si="13"/>
        <v>15.478567654676906</v>
      </c>
      <c r="Q37" s="99">
        <f t="shared" ca="1" si="13"/>
        <v>15.478567647293909</v>
      </c>
      <c r="R37" s="99">
        <f t="shared" ca="1" si="13"/>
        <v>15.47856763991091</v>
      </c>
      <c r="S37" s="99">
        <f t="shared" ca="1" si="13"/>
        <v>15.478567632527913</v>
      </c>
      <c r="T37" s="99">
        <f t="shared" ca="1" si="13"/>
        <v>15.478567625144914</v>
      </c>
      <c r="U37" s="99">
        <f t="shared" ca="1" si="13"/>
        <v>15.478567617761916</v>
      </c>
      <c r="V37" s="99">
        <f t="shared" ca="1" si="13"/>
        <v>15.478567610378921</v>
      </c>
      <c r="W37" s="99">
        <f t="shared" ca="1" si="13"/>
        <v>15.478567602995922</v>
      </c>
      <c r="X37" s="99">
        <f t="shared" ca="1" si="13"/>
        <v>15.478567595612924</v>
      </c>
      <c r="Y37" s="99">
        <f t="shared" ca="1" si="13"/>
        <v>15.478567588229925</v>
      </c>
      <c r="Z37" s="99">
        <f t="shared" ca="1" si="13"/>
        <v>15.478567580846928</v>
      </c>
      <c r="AA37" s="99">
        <f t="shared" ca="1" si="13"/>
        <v>15.478567573463931</v>
      </c>
      <c r="AB37" s="99">
        <f t="shared" ca="1" si="13"/>
        <v>15.478567566080931</v>
      </c>
      <c r="AC37" s="99">
        <f t="shared" ca="1" si="13"/>
        <v>15.478567558697932</v>
      </c>
      <c r="AD37" s="99">
        <f t="shared" ca="1" si="13"/>
        <v>15.478567551314935</v>
      </c>
      <c r="AE37" s="99">
        <f t="shared" ca="1" si="13"/>
        <v>15.478567543931936</v>
      </c>
      <c r="AF37" s="99">
        <f t="shared" ca="1" si="13"/>
        <v>15.478567536548939</v>
      </c>
      <c r="AG37" s="99">
        <f t="shared" ca="1" si="13"/>
        <v>15.478567529165941</v>
      </c>
      <c r="AH37" s="99">
        <f t="shared" ca="1" si="13"/>
        <v>15.478567521782942</v>
      </c>
      <c r="AI37" s="99">
        <f t="shared" ca="1" si="13"/>
        <v>15.478567514399943</v>
      </c>
      <c r="AJ37" s="99">
        <f t="shared" ca="1" si="13"/>
        <v>15.478567507016946</v>
      </c>
      <c r="AK37" s="99">
        <f t="shared" ca="1" si="13"/>
        <v>15.478567499633948</v>
      </c>
      <c r="AL37" s="99">
        <f t="shared" ca="1" si="13"/>
        <v>15.478567492250951</v>
      </c>
      <c r="AM37" s="99">
        <f t="shared" ca="1" si="13"/>
        <v>15.478567484867954</v>
      </c>
      <c r="AN37" s="99">
        <f t="shared" ca="1" si="13"/>
        <v>15.478567477484955</v>
      </c>
      <c r="AO37" s="99">
        <f t="shared" ca="1" si="13"/>
        <v>15.478567470101957</v>
      </c>
      <c r="AP37" s="99">
        <f t="shared" ca="1" si="13"/>
        <v>15.47856746271896</v>
      </c>
      <c r="AQ37" s="99">
        <f t="shared" ca="1" si="13"/>
        <v>15.478567455335963</v>
      </c>
      <c r="AR37" s="99">
        <f t="shared" ca="1" si="13"/>
        <v>15.478567447952964</v>
      </c>
      <c r="AS37" s="99">
        <f t="shared" ca="1" si="13"/>
        <v>15.478567440569964</v>
      </c>
      <c r="AT37" s="99">
        <f t="shared" ca="1" si="13"/>
        <v>15.478567433186965</v>
      </c>
      <c r="AU37" s="99">
        <f t="shared" ca="1" si="13"/>
        <v>15.478567425803968</v>
      </c>
      <c r="AV37" s="99">
        <f t="shared" ca="1" si="13"/>
        <v>15.478567418420969</v>
      </c>
      <c r="AW37" s="99">
        <f t="shared" ca="1" si="13"/>
        <v>15.47856741103797</v>
      </c>
      <c r="AX37" s="99">
        <f t="shared" ca="1" si="13"/>
        <v>15.478567403654971</v>
      </c>
      <c r="AY37" s="99">
        <f t="shared" ca="1" si="13"/>
        <v>15.478567396271972</v>
      </c>
      <c r="AZ37" s="99">
        <f t="shared" ca="1" si="13"/>
        <v>15.478567388888974</v>
      </c>
      <c r="BA37" s="99">
        <f t="shared" ca="1" si="13"/>
        <v>15.478567381505977</v>
      </c>
      <c r="BB37" s="99">
        <f t="shared" ca="1" si="13"/>
        <v>15.47856737412298</v>
      </c>
      <c r="BC37" s="99">
        <f t="shared" ca="1" si="13"/>
        <v>15.478567366739981</v>
      </c>
      <c r="BD37" s="99">
        <f t="shared" ca="1" si="13"/>
        <v>15.478567359356983</v>
      </c>
      <c r="BE37" s="99">
        <f t="shared" ca="1" si="13"/>
        <v>15.478567351973984</v>
      </c>
      <c r="BF37" s="96">
        <f ca="1">EXP(Workings!$B$16*'PDE 2'!F37+Workings!$B$17*'PDE 2'!$BE$2)*BE37</f>
        <v>245.91144416528624</v>
      </c>
    </row>
    <row r="38" spans="1:58" x14ac:dyDescent="0.25">
      <c r="A38" s="104">
        <f t="shared" ca="1" si="9"/>
        <v>1.327242285704501E-3</v>
      </c>
      <c r="B38" s="99" cm="1">
        <f t="array" ref="B38">black76(1,Workings!$B$7,E38*Workings!$B$20,Workings!$B$5,Workings!$B$1,Workings!$B$1+2/365,Workings!$B$8)</f>
        <v>266.7560086995374</v>
      </c>
      <c r="C38" s="99">
        <f t="shared" ca="1" si="11"/>
        <v>265.87153019316861</v>
      </c>
      <c r="D38" s="86">
        <v>32</v>
      </c>
      <c r="E38" s="99">
        <f t="shared" si="12"/>
        <v>666.40319999999997</v>
      </c>
      <c r="F38" s="99">
        <f t="shared" si="1"/>
        <v>6.5018948927618716</v>
      </c>
      <c r="G38" s="64">
        <f>MAX(EXP($F38)-Workings!$B$7,0)*EXP(-Workings!$B$16*'PDE 2'!$F38)</f>
        <v>16.518268025819317</v>
      </c>
      <c r="H38" s="99">
        <f t="shared" ca="1" si="4"/>
        <v>16.518268018879578</v>
      </c>
      <c r="I38" s="99">
        <f t="shared" ca="1" si="13"/>
        <v>16.518268011939846</v>
      </c>
      <c r="J38" s="99">
        <f t="shared" ca="1" si="13"/>
        <v>16.51826800500011</v>
      </c>
      <c r="K38" s="99">
        <f t="shared" ca="1" si="13"/>
        <v>16.518267998060374</v>
      </c>
      <c r="L38" s="99">
        <f t="shared" ca="1" si="13"/>
        <v>16.518267991120638</v>
      </c>
      <c r="M38" s="99">
        <f t="shared" ca="1" si="13"/>
        <v>16.518267984180902</v>
      </c>
      <c r="N38" s="99">
        <f t="shared" ca="1" si="13"/>
        <v>16.518267977241166</v>
      </c>
      <c r="O38" s="99">
        <f t="shared" ca="1" si="13"/>
        <v>16.51826797030143</v>
      </c>
      <c r="P38" s="99">
        <f t="shared" ca="1" si="13"/>
        <v>16.518267963361694</v>
      </c>
      <c r="Q38" s="99">
        <f t="shared" ca="1" si="13"/>
        <v>16.518267956421955</v>
      </c>
      <c r="R38" s="99">
        <f t="shared" ca="1" si="13"/>
        <v>16.518267949482219</v>
      </c>
      <c r="S38" s="99">
        <f t="shared" ca="1" si="13"/>
        <v>16.518267942542483</v>
      </c>
      <c r="T38" s="99">
        <f t="shared" ca="1" si="13"/>
        <v>16.518267935602751</v>
      </c>
      <c r="U38" s="99">
        <f t="shared" ca="1" si="13"/>
        <v>16.518267928663015</v>
      </c>
      <c r="V38" s="99">
        <f t="shared" ca="1" si="13"/>
        <v>16.518267921723275</v>
      </c>
      <c r="W38" s="99">
        <f t="shared" ca="1" si="13"/>
        <v>16.518267914783539</v>
      </c>
      <c r="X38" s="99">
        <f t="shared" ca="1" si="13"/>
        <v>16.518267907843803</v>
      </c>
      <c r="Y38" s="99">
        <f t="shared" ca="1" si="13"/>
        <v>16.518267900904068</v>
      </c>
      <c r="Z38" s="99">
        <f t="shared" ca="1" si="13"/>
        <v>16.518267893964332</v>
      </c>
      <c r="AA38" s="99">
        <f t="shared" ca="1" si="13"/>
        <v>16.518267887024596</v>
      </c>
      <c r="AB38" s="99">
        <f t="shared" ca="1" si="13"/>
        <v>16.518267880084856</v>
      </c>
      <c r="AC38" s="99">
        <f t="shared" ca="1" si="13"/>
        <v>16.51826787314512</v>
      </c>
      <c r="AD38" s="99">
        <f t="shared" ca="1" si="13"/>
        <v>16.518267866205385</v>
      </c>
      <c r="AE38" s="99">
        <f t="shared" ca="1" si="13"/>
        <v>16.518267859265649</v>
      </c>
      <c r="AF38" s="99">
        <f t="shared" ca="1" si="13"/>
        <v>16.518267852325913</v>
      </c>
      <c r="AG38" s="99">
        <f t="shared" ca="1" si="13"/>
        <v>16.518267845386173</v>
      </c>
      <c r="AH38" s="99">
        <f t="shared" ca="1" si="13"/>
        <v>16.518267838446437</v>
      </c>
      <c r="AI38" s="99">
        <f t="shared" ref="I38:BE43" ca="1" si="14">$E$3*(AH37)+(1-2*$E$3)*AH38+$E$3*AH39</f>
        <v>16.518267831506702</v>
      </c>
      <c r="AJ38" s="99">
        <f t="shared" ca="1" si="14"/>
        <v>16.518267824566966</v>
      </c>
      <c r="AK38" s="99">
        <f t="shared" ca="1" si="14"/>
        <v>16.51826781762723</v>
      </c>
      <c r="AL38" s="99">
        <f t="shared" ca="1" si="14"/>
        <v>16.518267810687494</v>
      </c>
      <c r="AM38" s="99">
        <f t="shared" ca="1" si="14"/>
        <v>16.518267803747758</v>
      </c>
      <c r="AN38" s="99">
        <f t="shared" ca="1" si="14"/>
        <v>16.518267796808022</v>
      </c>
      <c r="AO38" s="99">
        <f t="shared" ca="1" si="14"/>
        <v>16.518267789868286</v>
      </c>
      <c r="AP38" s="99">
        <f t="shared" ca="1" si="14"/>
        <v>16.51826778292855</v>
      </c>
      <c r="AQ38" s="99">
        <f t="shared" ca="1" si="14"/>
        <v>16.518267775988814</v>
      </c>
      <c r="AR38" s="99">
        <f t="shared" ca="1" si="14"/>
        <v>16.518267769049075</v>
      </c>
      <c r="AS38" s="99">
        <f t="shared" ca="1" si="14"/>
        <v>16.518267762109343</v>
      </c>
      <c r="AT38" s="99">
        <f t="shared" ca="1" si="14"/>
        <v>16.518267755169607</v>
      </c>
      <c r="AU38" s="99">
        <f t="shared" ca="1" si="14"/>
        <v>16.518267748229867</v>
      </c>
      <c r="AV38" s="99">
        <f t="shared" ca="1" si="14"/>
        <v>16.518267741290131</v>
      </c>
      <c r="AW38" s="99">
        <f t="shared" ca="1" si="14"/>
        <v>16.518267734350392</v>
      </c>
      <c r="AX38" s="99">
        <f t="shared" ca="1" si="14"/>
        <v>16.51826772741066</v>
      </c>
      <c r="AY38" s="99">
        <f t="shared" ca="1" si="14"/>
        <v>16.518267720470924</v>
      </c>
      <c r="AZ38" s="99">
        <f t="shared" ca="1" si="14"/>
        <v>16.518267713531188</v>
      </c>
      <c r="BA38" s="99">
        <f t="shared" ca="1" si="14"/>
        <v>16.518267706591452</v>
      </c>
      <c r="BB38" s="99">
        <f t="shared" ca="1" si="14"/>
        <v>16.518267699651716</v>
      </c>
      <c r="BC38" s="99">
        <f t="shared" ca="1" si="14"/>
        <v>16.518267692711976</v>
      </c>
      <c r="BD38" s="99">
        <f t="shared" ca="1" si="14"/>
        <v>16.518267685772241</v>
      </c>
      <c r="BE38" s="99">
        <f t="shared" ca="1" si="14"/>
        <v>16.518267678832505</v>
      </c>
      <c r="BF38" s="96">
        <f ca="1">EXP(Workings!$B$16*'PDE 2'!F38+Workings!$B$17*'PDE 2'!$BE$2)*BE38</f>
        <v>265.87153019316861</v>
      </c>
    </row>
    <row r="39" spans="1:58" x14ac:dyDescent="0.25">
      <c r="A39" s="104">
        <f t="shared" ca="1" si="9"/>
        <v>1.3467193927355061E-3</v>
      </c>
      <c r="B39" s="99" cm="1">
        <f t="array" ref="B39">black76(1,Workings!$B$7,E39*Workings!$B$20,Workings!$B$5,Workings!$B$1,Workings!$B$1+2/365,Workings!$B$8)</f>
        <v>286.7560086995374</v>
      </c>
      <c r="C39" s="99">
        <f t="shared" ca="1" si="11"/>
        <v>285.8316161988617</v>
      </c>
      <c r="D39" s="86">
        <v>33</v>
      </c>
      <c r="E39" s="99">
        <f t="shared" si="12"/>
        <v>686.40319999999997</v>
      </c>
      <c r="F39" s="99">
        <f t="shared" si="1"/>
        <v>6.5314652101675472</v>
      </c>
      <c r="G39" s="64">
        <f>MAX(EXP($F39)-Workings!$B$7,0)*EXP(-Workings!$B$16*'PDE 2'!$F39)</f>
        <v>17.535208840432659</v>
      </c>
      <c r="H39" s="99">
        <f t="shared" ca="1" si="4"/>
        <v>17.53520883389621</v>
      </c>
      <c r="I39" s="99">
        <f t="shared" ca="1" si="14"/>
        <v>17.535208827359764</v>
      </c>
      <c r="J39" s="99">
        <f t="shared" ca="1" si="14"/>
        <v>17.535208820823314</v>
      </c>
      <c r="K39" s="99">
        <f t="shared" ca="1" si="14"/>
        <v>17.535208814286865</v>
      </c>
      <c r="L39" s="99">
        <f t="shared" ca="1" si="14"/>
        <v>17.535208807750418</v>
      </c>
      <c r="M39" s="99">
        <f t="shared" ca="1" si="14"/>
        <v>17.535208801213972</v>
      </c>
      <c r="N39" s="99">
        <f t="shared" ca="1" si="14"/>
        <v>17.535208794677526</v>
      </c>
      <c r="O39" s="99">
        <f t="shared" ca="1" si="14"/>
        <v>17.53520878814108</v>
      </c>
      <c r="P39" s="99">
        <f t="shared" ca="1" si="14"/>
        <v>17.535208781604631</v>
      </c>
      <c r="Q39" s="99">
        <f t="shared" ca="1" si="14"/>
        <v>17.535208775068181</v>
      </c>
      <c r="R39" s="99">
        <f t="shared" ca="1" si="14"/>
        <v>17.535208768531731</v>
      </c>
      <c r="S39" s="99">
        <f t="shared" ca="1" si="14"/>
        <v>17.535208761995282</v>
      </c>
      <c r="T39" s="99">
        <f t="shared" ca="1" si="14"/>
        <v>17.535208755458836</v>
      </c>
      <c r="U39" s="99">
        <f t="shared" ca="1" si="14"/>
        <v>17.535208748922386</v>
      </c>
      <c r="V39" s="99">
        <f t="shared" ca="1" si="14"/>
        <v>17.53520874238594</v>
      </c>
      <c r="W39" s="99">
        <f t="shared" ca="1" si="14"/>
        <v>17.535208735849491</v>
      </c>
      <c r="X39" s="99">
        <f t="shared" ca="1" si="14"/>
        <v>17.535208729313045</v>
      </c>
      <c r="Y39" s="99">
        <f t="shared" ca="1" si="14"/>
        <v>17.535208722776595</v>
      </c>
      <c r="Z39" s="99">
        <f t="shared" ca="1" si="14"/>
        <v>17.535208716240145</v>
      </c>
      <c r="AA39" s="99">
        <f t="shared" ca="1" si="14"/>
        <v>17.535208709703696</v>
      </c>
      <c r="AB39" s="99">
        <f t="shared" ca="1" si="14"/>
        <v>17.53520870316725</v>
      </c>
      <c r="AC39" s="99">
        <f t="shared" ca="1" si="14"/>
        <v>17.535208696630804</v>
      </c>
      <c r="AD39" s="99">
        <f t="shared" ca="1" si="14"/>
        <v>17.535208690094358</v>
      </c>
      <c r="AE39" s="99">
        <f t="shared" ca="1" si="14"/>
        <v>17.535208683557908</v>
      </c>
      <c r="AF39" s="99">
        <f t="shared" ca="1" si="14"/>
        <v>17.535208677021462</v>
      </c>
      <c r="AG39" s="99">
        <f t="shared" ca="1" si="14"/>
        <v>17.535208670485012</v>
      </c>
      <c r="AH39" s="99">
        <f t="shared" ca="1" si="14"/>
        <v>17.535208663948563</v>
      </c>
      <c r="AI39" s="99">
        <f t="shared" ca="1" si="14"/>
        <v>17.535208657412113</v>
      </c>
      <c r="AJ39" s="99">
        <f t="shared" ca="1" si="14"/>
        <v>17.535208650875663</v>
      </c>
      <c r="AK39" s="99">
        <f t="shared" ca="1" si="14"/>
        <v>17.535208644339217</v>
      </c>
      <c r="AL39" s="99">
        <f t="shared" ca="1" si="14"/>
        <v>17.535208637802768</v>
      </c>
      <c r="AM39" s="99">
        <f t="shared" ca="1" si="14"/>
        <v>17.535208631266322</v>
      </c>
      <c r="AN39" s="99">
        <f t="shared" ca="1" si="14"/>
        <v>17.535208624729872</v>
      </c>
      <c r="AO39" s="99">
        <f t="shared" ca="1" si="14"/>
        <v>17.535208618193426</v>
      </c>
      <c r="AP39" s="99">
        <f t="shared" ca="1" si="14"/>
        <v>17.535208611656977</v>
      </c>
      <c r="AQ39" s="99">
        <f t="shared" ca="1" si="14"/>
        <v>17.535208605120527</v>
      </c>
      <c r="AR39" s="99">
        <f t="shared" ca="1" si="14"/>
        <v>17.535208598584077</v>
      </c>
      <c r="AS39" s="99">
        <f t="shared" ca="1" si="14"/>
        <v>17.535208592047631</v>
      </c>
      <c r="AT39" s="99">
        <f t="shared" ca="1" si="14"/>
        <v>17.535208585511185</v>
      </c>
      <c r="AU39" s="99">
        <f t="shared" ca="1" si="14"/>
        <v>17.535208578974739</v>
      </c>
      <c r="AV39" s="99">
        <f t="shared" ca="1" si="14"/>
        <v>17.53520857243829</v>
      </c>
      <c r="AW39" s="99">
        <f t="shared" ca="1" si="14"/>
        <v>17.535208565901844</v>
      </c>
      <c r="AX39" s="99">
        <f t="shared" ca="1" si="14"/>
        <v>17.535208559365394</v>
      </c>
      <c r="AY39" s="99">
        <f t="shared" ca="1" si="14"/>
        <v>17.535208552828944</v>
      </c>
      <c r="AZ39" s="99">
        <f t="shared" ca="1" si="14"/>
        <v>17.535208546292495</v>
      </c>
      <c r="BA39" s="99">
        <f t="shared" ca="1" si="14"/>
        <v>17.535208539756045</v>
      </c>
      <c r="BB39" s="99">
        <f t="shared" ca="1" si="14"/>
        <v>17.535208533219599</v>
      </c>
      <c r="BC39" s="99">
        <f t="shared" ca="1" si="14"/>
        <v>17.535208526683149</v>
      </c>
      <c r="BD39" s="99">
        <f t="shared" ca="1" si="14"/>
        <v>17.535208520146703</v>
      </c>
      <c r="BE39" s="99">
        <f t="shared" ca="1" si="14"/>
        <v>17.535208513610254</v>
      </c>
      <c r="BF39" s="96">
        <f ca="1">EXP(Workings!$B$16*'PDE 2'!F39+Workings!$B$17*'PDE 2'!$BE$2)*BE39</f>
        <v>285.8316161988617</v>
      </c>
    </row>
    <row r="40" spans="1:58" x14ac:dyDescent="0.25">
      <c r="A40" s="104">
        <f t="shared" ca="1" si="9"/>
        <v>1.3650936388736638E-3</v>
      </c>
      <c r="B40" s="99" cm="1">
        <f t="array" ref="B40">black76(1,Workings!$B$7,E40*Workings!$B$20,Workings!$B$5,Workings!$B$1,Workings!$B$1+2/365,Workings!$B$8)</f>
        <v>306.7560086995374</v>
      </c>
      <c r="C40" s="99">
        <f t="shared" ca="1" si="11"/>
        <v>305.7917021847374</v>
      </c>
      <c r="D40" s="86">
        <v>34</v>
      </c>
      <c r="E40" s="99">
        <f t="shared" si="12"/>
        <v>706.40319999999997</v>
      </c>
      <c r="F40" s="99">
        <f t="shared" si="1"/>
        <v>6.5601861792908149</v>
      </c>
      <c r="G40" s="64">
        <f>MAX(EXP($F40)-Workings!$B$7,0)*EXP(-Workings!$B$16*'PDE 2'!$F40)</f>
        <v>18.530712785556723</v>
      </c>
      <c r="H40" s="99">
        <f t="shared" ca="1" si="4"/>
        <v>18.530712779388271</v>
      </c>
      <c r="I40" s="99">
        <f t="shared" ca="1" si="14"/>
        <v>18.530712773219822</v>
      </c>
      <c r="J40" s="99">
        <f t="shared" ca="1" si="14"/>
        <v>18.530712767051369</v>
      </c>
      <c r="K40" s="99">
        <f t="shared" ca="1" si="14"/>
        <v>18.530712760882921</v>
      </c>
      <c r="L40" s="99">
        <f t="shared" ca="1" si="14"/>
        <v>18.530712754714468</v>
      </c>
      <c r="M40" s="99">
        <f t="shared" ca="1" si="14"/>
        <v>18.530712748546023</v>
      </c>
      <c r="N40" s="99">
        <f t="shared" ca="1" si="14"/>
        <v>18.530712742377574</v>
      </c>
      <c r="O40" s="99">
        <f t="shared" ca="1" si="14"/>
        <v>18.530712736209125</v>
      </c>
      <c r="P40" s="99">
        <f t="shared" ca="1" si="14"/>
        <v>18.530712730040676</v>
      </c>
      <c r="Q40" s="99">
        <f t="shared" ca="1" si="14"/>
        <v>18.530712723872227</v>
      </c>
      <c r="R40" s="99">
        <f t="shared" ca="1" si="14"/>
        <v>18.530712717703778</v>
      </c>
      <c r="S40" s="99">
        <f t="shared" ca="1" si="14"/>
        <v>18.53071271153533</v>
      </c>
      <c r="T40" s="99">
        <f t="shared" ca="1" si="14"/>
        <v>18.530712705366881</v>
      </c>
      <c r="U40" s="99">
        <f t="shared" ca="1" si="14"/>
        <v>18.530712699198432</v>
      </c>
      <c r="V40" s="99">
        <f t="shared" ca="1" si="14"/>
        <v>18.530712693029979</v>
      </c>
      <c r="W40" s="99">
        <f t="shared" ca="1" si="14"/>
        <v>18.530712686861531</v>
      </c>
      <c r="X40" s="99">
        <f t="shared" ca="1" si="14"/>
        <v>18.530712680693078</v>
      </c>
      <c r="Y40" s="99">
        <f t="shared" ca="1" si="14"/>
        <v>18.530712674524629</v>
      </c>
      <c r="Z40" s="99">
        <f t="shared" ca="1" si="14"/>
        <v>18.530712668356177</v>
      </c>
      <c r="AA40" s="99">
        <f t="shared" ca="1" si="14"/>
        <v>18.530712662187728</v>
      </c>
      <c r="AB40" s="99">
        <f t="shared" ca="1" si="14"/>
        <v>18.530712656019276</v>
      </c>
      <c r="AC40" s="99">
        <f t="shared" ca="1" si="14"/>
        <v>18.530712649850827</v>
      </c>
      <c r="AD40" s="99">
        <f t="shared" ca="1" si="14"/>
        <v>18.530712643682378</v>
      </c>
      <c r="AE40" s="99">
        <f t="shared" ca="1" si="14"/>
        <v>18.530712637513929</v>
      </c>
      <c r="AF40" s="99">
        <f t="shared" ca="1" si="14"/>
        <v>18.53071263134548</v>
      </c>
      <c r="AG40" s="99">
        <f t="shared" ca="1" si="14"/>
        <v>18.530712625177031</v>
      </c>
      <c r="AH40" s="99">
        <f t="shared" ca="1" si="14"/>
        <v>18.530712619008582</v>
      </c>
      <c r="AI40" s="99">
        <f t="shared" ca="1" si="14"/>
        <v>18.530712612840134</v>
      </c>
      <c r="AJ40" s="99">
        <f t="shared" ca="1" si="14"/>
        <v>18.530712606671685</v>
      </c>
      <c r="AK40" s="99">
        <f t="shared" ca="1" si="14"/>
        <v>18.530712600503236</v>
      </c>
      <c r="AL40" s="99">
        <f t="shared" ca="1" si="14"/>
        <v>18.530712594334787</v>
      </c>
      <c r="AM40" s="99">
        <f t="shared" ca="1" si="14"/>
        <v>18.530712588166338</v>
      </c>
      <c r="AN40" s="99">
        <f t="shared" ca="1" si="14"/>
        <v>18.530712581997886</v>
      </c>
      <c r="AO40" s="99">
        <f t="shared" ca="1" si="14"/>
        <v>18.530712575829437</v>
      </c>
      <c r="AP40" s="99">
        <f t="shared" ca="1" si="14"/>
        <v>18.530712569660984</v>
      </c>
      <c r="AQ40" s="99">
        <f t="shared" ca="1" si="14"/>
        <v>18.530712563492536</v>
      </c>
      <c r="AR40" s="99">
        <f t="shared" ca="1" si="14"/>
        <v>18.530712557324083</v>
      </c>
      <c r="AS40" s="99">
        <f t="shared" ca="1" si="14"/>
        <v>18.530712551155634</v>
      </c>
      <c r="AT40" s="99">
        <f t="shared" ca="1" si="14"/>
        <v>18.530712544987182</v>
      </c>
      <c r="AU40" s="99">
        <f t="shared" ca="1" si="14"/>
        <v>18.530712538818733</v>
      </c>
      <c r="AV40" s="99">
        <f t="shared" ca="1" si="14"/>
        <v>18.530712532650284</v>
      </c>
      <c r="AW40" s="99">
        <f t="shared" ca="1" si="14"/>
        <v>18.530712526481835</v>
      </c>
      <c r="AX40" s="99">
        <f t="shared" ca="1" si="14"/>
        <v>18.530712520313386</v>
      </c>
      <c r="AY40" s="99">
        <f t="shared" ca="1" si="14"/>
        <v>18.530712514144938</v>
      </c>
      <c r="AZ40" s="99">
        <f t="shared" ca="1" si="14"/>
        <v>18.530712507976489</v>
      </c>
      <c r="BA40" s="99">
        <f t="shared" ca="1" si="14"/>
        <v>18.53071250180804</v>
      </c>
      <c r="BB40" s="99">
        <f t="shared" ca="1" si="14"/>
        <v>18.530712495639591</v>
      </c>
      <c r="BC40" s="99">
        <f t="shared" ca="1" si="14"/>
        <v>18.530712489471142</v>
      </c>
      <c r="BD40" s="99">
        <f t="shared" ca="1" si="14"/>
        <v>18.53071248330269</v>
      </c>
      <c r="BE40" s="99">
        <f t="shared" ca="1" si="14"/>
        <v>18.530712477134241</v>
      </c>
      <c r="BF40" s="96">
        <f ca="1">EXP(Workings!$B$16*'PDE 2'!F40+Workings!$B$17*'PDE 2'!$BE$2)*BE40</f>
        <v>305.7917021847374</v>
      </c>
    </row>
    <row r="41" spans="1:58" x14ac:dyDescent="0.25">
      <c r="A41" s="104">
        <f t="shared" ca="1" si="9"/>
        <v>1.3824561162253985E-3</v>
      </c>
      <c r="B41" s="99" cm="1">
        <f t="array" ref="B41">black76(1,Workings!$B$7,E41*Workings!$B$20,Workings!$B$5,Workings!$B$1,Workings!$B$1+2/365,Workings!$B$8)</f>
        <v>326.7560086995374</v>
      </c>
      <c r="C41" s="99">
        <f t="shared" ca="1" si="11"/>
        <v>325.7517881528517</v>
      </c>
      <c r="D41" s="86">
        <v>35</v>
      </c>
      <c r="E41" s="99">
        <f t="shared" si="12"/>
        <v>726.40319999999997</v>
      </c>
      <c r="F41" s="99">
        <f t="shared" si="1"/>
        <v>6.5881052325637235</v>
      </c>
      <c r="G41" s="64">
        <f>MAX(EXP($F41)-Workings!$B$7,0)*EXP(-Workings!$B$16*'PDE 2'!$F41)</f>
        <v>19.505986745085078</v>
      </c>
      <c r="H41" s="99">
        <f t="shared" ca="1" si="4"/>
        <v>19.505986739253352</v>
      </c>
      <c r="I41" s="99">
        <f t="shared" ca="1" si="14"/>
        <v>19.505986733421629</v>
      </c>
      <c r="J41" s="99">
        <f t="shared" ca="1" si="14"/>
        <v>19.505986727589903</v>
      </c>
      <c r="K41" s="99">
        <f t="shared" ca="1" si="14"/>
        <v>19.50598672175818</v>
      </c>
      <c r="L41" s="99">
        <f t="shared" ca="1" si="14"/>
        <v>19.505986715926454</v>
      </c>
      <c r="M41" s="99">
        <f t="shared" ca="1" si="14"/>
        <v>19.505986710094732</v>
      </c>
      <c r="N41" s="99">
        <f t="shared" ca="1" si="14"/>
        <v>19.505986704263009</v>
      </c>
      <c r="O41" s="99">
        <f t="shared" ca="1" si="14"/>
        <v>19.505986698431286</v>
      </c>
      <c r="P41" s="99">
        <f t="shared" ca="1" si="14"/>
        <v>19.505986692599564</v>
      </c>
      <c r="Q41" s="99">
        <f t="shared" ca="1" si="14"/>
        <v>19.505986686767837</v>
      </c>
      <c r="R41" s="99">
        <f t="shared" ca="1" si="14"/>
        <v>19.505986680936115</v>
      </c>
      <c r="S41" s="99">
        <f t="shared" ca="1" si="14"/>
        <v>19.505986675104388</v>
      </c>
      <c r="T41" s="99">
        <f t="shared" ca="1" si="14"/>
        <v>19.505986669272666</v>
      </c>
      <c r="U41" s="99">
        <f t="shared" ca="1" si="14"/>
        <v>19.50598666344094</v>
      </c>
      <c r="V41" s="99">
        <f t="shared" ca="1" si="14"/>
        <v>19.505986657609217</v>
      </c>
      <c r="W41" s="99">
        <f t="shared" ca="1" si="14"/>
        <v>19.505986651777491</v>
      </c>
      <c r="X41" s="99">
        <f t="shared" ca="1" si="14"/>
        <v>19.505986645945768</v>
      </c>
      <c r="Y41" s="99">
        <f t="shared" ca="1" si="14"/>
        <v>19.505986640114042</v>
      </c>
      <c r="Z41" s="99">
        <f t="shared" ca="1" si="14"/>
        <v>19.505986634282319</v>
      </c>
      <c r="AA41" s="99">
        <f t="shared" ca="1" si="14"/>
        <v>19.505986628450593</v>
      </c>
      <c r="AB41" s="99">
        <f t="shared" ca="1" si="14"/>
        <v>19.50598662261887</v>
      </c>
      <c r="AC41" s="99">
        <f t="shared" ca="1" si="14"/>
        <v>19.505986616787144</v>
      </c>
      <c r="AD41" s="99">
        <f t="shared" ca="1" si="14"/>
        <v>19.505986610955421</v>
      </c>
      <c r="AE41" s="99">
        <f t="shared" ca="1" si="14"/>
        <v>19.505986605123695</v>
      </c>
      <c r="AF41" s="99">
        <f t="shared" ca="1" si="14"/>
        <v>19.505986599291973</v>
      </c>
      <c r="AG41" s="99">
        <f t="shared" ca="1" si="14"/>
        <v>19.50598659346025</v>
      </c>
      <c r="AH41" s="99">
        <f t="shared" ca="1" si="14"/>
        <v>19.505986587628524</v>
      </c>
      <c r="AI41" s="99">
        <f t="shared" ca="1" si="14"/>
        <v>19.505986581796801</v>
      </c>
      <c r="AJ41" s="99">
        <f t="shared" ca="1" si="14"/>
        <v>19.505986575965075</v>
      </c>
      <c r="AK41" s="99">
        <f t="shared" ca="1" si="14"/>
        <v>19.505986570133352</v>
      </c>
      <c r="AL41" s="99">
        <f t="shared" ca="1" si="14"/>
        <v>19.505986564301626</v>
      </c>
      <c r="AM41" s="99">
        <f t="shared" ca="1" si="14"/>
        <v>19.505986558469903</v>
      </c>
      <c r="AN41" s="99">
        <f t="shared" ca="1" si="14"/>
        <v>19.505986552638177</v>
      </c>
      <c r="AO41" s="99">
        <f t="shared" ca="1" si="14"/>
        <v>19.505986546806454</v>
      </c>
      <c r="AP41" s="99">
        <f t="shared" ca="1" si="14"/>
        <v>19.505986540974728</v>
      </c>
      <c r="AQ41" s="99">
        <f t="shared" ca="1" si="14"/>
        <v>19.505986535143006</v>
      </c>
      <c r="AR41" s="99">
        <f t="shared" ca="1" si="14"/>
        <v>19.505986529311279</v>
      </c>
      <c r="AS41" s="99">
        <f t="shared" ca="1" si="14"/>
        <v>19.505986523479557</v>
      </c>
      <c r="AT41" s="99">
        <f t="shared" ca="1" si="14"/>
        <v>19.50598651764783</v>
      </c>
      <c r="AU41" s="99">
        <f t="shared" ca="1" si="14"/>
        <v>19.505986511816108</v>
      </c>
      <c r="AV41" s="99">
        <f t="shared" ca="1" si="14"/>
        <v>19.505986505984382</v>
      </c>
      <c r="AW41" s="99">
        <f t="shared" ca="1" si="14"/>
        <v>19.505986500152659</v>
      </c>
      <c r="AX41" s="99">
        <f t="shared" ca="1" si="14"/>
        <v>19.505986494320933</v>
      </c>
      <c r="AY41" s="99">
        <f t="shared" ca="1" si="14"/>
        <v>19.505986488489206</v>
      </c>
      <c r="AZ41" s="99">
        <f t="shared" ca="1" si="14"/>
        <v>19.505986482657484</v>
      </c>
      <c r="BA41" s="99">
        <f t="shared" ca="1" si="14"/>
        <v>19.505986476825758</v>
      </c>
      <c r="BB41" s="99">
        <f t="shared" ca="1" si="14"/>
        <v>19.505986470994035</v>
      </c>
      <c r="BC41" s="99">
        <f t="shared" ca="1" si="14"/>
        <v>19.505986465162309</v>
      </c>
      <c r="BD41" s="99">
        <f t="shared" ca="1" si="14"/>
        <v>19.505986459330586</v>
      </c>
      <c r="BE41" s="99">
        <f t="shared" ca="1" si="14"/>
        <v>19.50598645349886</v>
      </c>
      <c r="BF41" s="96">
        <f ca="1">EXP(Workings!$B$16*'PDE 2'!F41+Workings!$B$17*'PDE 2'!$BE$2)*BE41</f>
        <v>325.7517881528517</v>
      </c>
    </row>
    <row r="42" spans="1:58" x14ac:dyDescent="0.25">
      <c r="A42" s="104">
        <f t="shared" ca="1" si="9"/>
        <v>1.3988881539301213E-3</v>
      </c>
      <c r="B42" s="99" cm="1">
        <f t="array" ref="B42">black76(1,Workings!$B$7,E42*Workings!$B$20,Workings!$B$5,Workings!$B$1,Workings!$B$1+2/365,Workings!$B$8)</f>
        <v>346.7560086995374</v>
      </c>
      <c r="C42" s="99">
        <f t="shared" ca="1" si="11"/>
        <v>345.71187410500187</v>
      </c>
      <c r="D42" s="86">
        <v>36</v>
      </c>
      <c r="E42" s="99">
        <f t="shared" si="12"/>
        <v>746.40319999999997</v>
      </c>
      <c r="F42" s="99">
        <f t="shared" si="1"/>
        <v>6.6152659367693882</v>
      </c>
      <c r="G42" s="64">
        <f>MAX(EXP($F42)-Workings!$B$7,0)*EXP(-Workings!$B$16*'PDE 2'!$F42)</f>
        <v>20.462135043810029</v>
      </c>
      <c r="H42" s="99">
        <f t="shared" ca="1" si="4"/>
        <v>20.462135038287222</v>
      </c>
      <c r="I42" s="99">
        <f t="shared" ca="1" si="14"/>
        <v>20.462135032764419</v>
      </c>
      <c r="J42" s="99">
        <f t="shared" ca="1" si="14"/>
        <v>20.462135027241612</v>
      </c>
      <c r="K42" s="99">
        <f t="shared" ca="1" si="14"/>
        <v>20.462135021718808</v>
      </c>
      <c r="L42" s="99">
        <f t="shared" ca="1" si="14"/>
        <v>20.462135016196001</v>
      </c>
      <c r="M42" s="99">
        <f t="shared" ca="1" si="14"/>
        <v>20.462135010673197</v>
      </c>
      <c r="N42" s="99">
        <f t="shared" ca="1" si="14"/>
        <v>20.46213500515039</v>
      </c>
      <c r="O42" s="99">
        <f t="shared" ca="1" si="14"/>
        <v>20.462134999627587</v>
      </c>
      <c r="P42" s="99">
        <f t="shared" ca="1" si="14"/>
        <v>20.46213499410478</v>
      </c>
      <c r="Q42" s="99">
        <f t="shared" ca="1" si="14"/>
        <v>20.462134988581976</v>
      </c>
      <c r="R42" s="99">
        <f t="shared" ca="1" si="14"/>
        <v>20.462134983059173</v>
      </c>
      <c r="S42" s="99">
        <f t="shared" ca="1" si="14"/>
        <v>20.462134977536365</v>
      </c>
      <c r="T42" s="99">
        <f t="shared" ca="1" si="14"/>
        <v>20.462134972013558</v>
      </c>
      <c r="U42" s="99">
        <f t="shared" ca="1" si="14"/>
        <v>20.462134966490751</v>
      </c>
      <c r="V42" s="99">
        <f t="shared" ca="1" si="14"/>
        <v>20.462134960967944</v>
      </c>
      <c r="W42" s="99">
        <f t="shared" ca="1" si="14"/>
        <v>20.462134955445137</v>
      </c>
      <c r="X42" s="99">
        <f t="shared" ca="1" si="14"/>
        <v>20.46213494992233</v>
      </c>
      <c r="Y42" s="99">
        <f t="shared" ca="1" si="14"/>
        <v>20.462134944399523</v>
      </c>
      <c r="Z42" s="99">
        <f t="shared" ca="1" si="14"/>
        <v>20.462134938876716</v>
      </c>
      <c r="AA42" s="99">
        <f t="shared" ca="1" si="14"/>
        <v>20.462134933353912</v>
      </c>
      <c r="AB42" s="99">
        <f t="shared" ca="1" si="14"/>
        <v>20.462134927831105</v>
      </c>
      <c r="AC42" s="99">
        <f t="shared" ca="1" si="14"/>
        <v>20.462134922308302</v>
      </c>
      <c r="AD42" s="99">
        <f t="shared" ca="1" si="14"/>
        <v>20.462134916785494</v>
      </c>
      <c r="AE42" s="99">
        <f t="shared" ca="1" si="14"/>
        <v>20.462134911262691</v>
      </c>
      <c r="AF42" s="99">
        <f t="shared" ca="1" si="14"/>
        <v>20.462134905739884</v>
      </c>
      <c r="AG42" s="99">
        <f t="shared" ca="1" si="14"/>
        <v>20.46213490021708</v>
      </c>
      <c r="AH42" s="99">
        <f t="shared" ca="1" si="14"/>
        <v>20.462134894694273</v>
      </c>
      <c r="AI42" s="99">
        <f t="shared" ca="1" si="14"/>
        <v>20.46213488917147</v>
      </c>
      <c r="AJ42" s="99">
        <f t="shared" ca="1" si="14"/>
        <v>20.462134883648663</v>
      </c>
      <c r="AK42" s="99">
        <f t="shared" ca="1" si="14"/>
        <v>20.462134878125859</v>
      </c>
      <c r="AL42" s="99">
        <f t="shared" ca="1" si="14"/>
        <v>20.462134872603052</v>
      </c>
      <c r="AM42" s="99">
        <f t="shared" ca="1" si="14"/>
        <v>20.462134867080245</v>
      </c>
      <c r="AN42" s="99">
        <f t="shared" ca="1" si="14"/>
        <v>20.462134861557438</v>
      </c>
      <c r="AO42" s="99">
        <f t="shared" ca="1" si="14"/>
        <v>20.462134856034631</v>
      </c>
      <c r="AP42" s="99">
        <f t="shared" ca="1" si="14"/>
        <v>20.462134850511823</v>
      </c>
      <c r="AQ42" s="99">
        <f t="shared" ca="1" si="14"/>
        <v>20.462134844989016</v>
      </c>
      <c r="AR42" s="99">
        <f t="shared" ca="1" si="14"/>
        <v>20.462134839466209</v>
      </c>
      <c r="AS42" s="99">
        <f t="shared" ca="1" si="14"/>
        <v>20.462134833943402</v>
      </c>
      <c r="AT42" s="99">
        <f t="shared" ca="1" si="14"/>
        <v>20.462134828420595</v>
      </c>
      <c r="AU42" s="99">
        <f t="shared" ca="1" si="14"/>
        <v>20.462134822897792</v>
      </c>
      <c r="AV42" s="99">
        <f t="shared" ca="1" si="14"/>
        <v>20.462134817374984</v>
      </c>
      <c r="AW42" s="99">
        <f t="shared" ca="1" si="14"/>
        <v>20.462134811852181</v>
      </c>
      <c r="AX42" s="99">
        <f t="shared" ca="1" si="14"/>
        <v>20.462134806329374</v>
      </c>
      <c r="AY42" s="99">
        <f t="shared" ca="1" si="14"/>
        <v>20.46213480080657</v>
      </c>
      <c r="AZ42" s="99">
        <f t="shared" ca="1" si="14"/>
        <v>20.462134795283763</v>
      </c>
      <c r="BA42" s="99">
        <f t="shared" ca="1" si="14"/>
        <v>20.46213478976096</v>
      </c>
      <c r="BB42" s="99">
        <f t="shared" ca="1" si="14"/>
        <v>20.462134784238152</v>
      </c>
      <c r="BC42" s="99">
        <f t="shared" ca="1" si="14"/>
        <v>20.462134778715349</v>
      </c>
      <c r="BD42" s="99">
        <f t="shared" ca="1" si="14"/>
        <v>20.462134773192545</v>
      </c>
      <c r="BE42" s="99">
        <f t="shared" ca="1" si="14"/>
        <v>20.462134767669738</v>
      </c>
      <c r="BF42" s="96">
        <f ca="1">EXP(Workings!$B$16*'PDE 2'!F42+Workings!$B$17*'PDE 2'!$BE$2)*BE42</f>
        <v>345.71187410500187</v>
      </c>
    </row>
    <row r="43" spans="1:58" x14ac:dyDescent="0.25">
      <c r="A43" s="104">
        <f t="shared" ca="1" si="9"/>
        <v>1.4144625919930269E-3</v>
      </c>
      <c r="B43" s="99" cm="1">
        <f t="array" ref="B43">black76(1,Workings!$B$7,E43*Workings!$B$20,Workings!$B$5,Workings!$B$1,Workings!$B$1+2/365,Workings!$B$8)</f>
        <v>366.75600869953735</v>
      </c>
      <c r="C43" s="99">
        <f t="shared" ca="1" si="11"/>
        <v>365.6719600427536</v>
      </c>
      <c r="D43" s="86">
        <v>37</v>
      </c>
      <c r="E43" s="99">
        <f t="shared" si="12"/>
        <v>766.40319999999997</v>
      </c>
      <c r="F43" s="99">
        <f t="shared" si="1"/>
        <v>6.6417084020132782</v>
      </c>
      <c r="G43" s="64">
        <f>MAX(EXP($F43)-Workings!$B$7,0)*EXP(-Workings!$B$16*'PDE 2'!$F43)</f>
        <v>21.400170803807018</v>
      </c>
      <c r="H43" s="99">
        <f t="shared" ca="1" si="4"/>
        <v>21.400170798568318</v>
      </c>
      <c r="I43" s="99">
        <f t="shared" ca="1" si="14"/>
        <v>21.400170793329615</v>
      </c>
      <c r="J43" s="99">
        <f t="shared" ca="1" si="14"/>
        <v>21.400170788090911</v>
      </c>
      <c r="K43" s="99">
        <f t="shared" ca="1" si="14"/>
        <v>21.400170782852211</v>
      </c>
      <c r="L43" s="99">
        <f t="shared" ca="1" si="14"/>
        <v>21.400170777613507</v>
      </c>
      <c r="M43" s="99">
        <f t="shared" ca="1" si="14"/>
        <v>21.400170772374807</v>
      </c>
      <c r="N43" s="99">
        <f t="shared" ca="1" si="14"/>
        <v>21.400170767136107</v>
      </c>
      <c r="O43" s="99">
        <f t="shared" ca="1" si="14"/>
        <v>21.400170761897407</v>
      </c>
      <c r="P43" s="99">
        <f t="shared" ca="1" si="14"/>
        <v>21.400170756658706</v>
      </c>
      <c r="Q43" s="99">
        <f t="shared" ca="1" si="14"/>
        <v>21.400170751420006</v>
      </c>
      <c r="R43" s="99">
        <f t="shared" ca="1" si="14"/>
        <v>21.40017074618131</v>
      </c>
      <c r="S43" s="99">
        <f t="shared" ca="1" si="14"/>
        <v>21.400170740942606</v>
      </c>
      <c r="T43" s="99">
        <f t="shared" ca="1" si="14"/>
        <v>21.400170735703906</v>
      </c>
      <c r="U43" s="99">
        <f t="shared" ca="1" si="14"/>
        <v>21.400170730465202</v>
      </c>
      <c r="V43" s="99">
        <f t="shared" ca="1" si="14"/>
        <v>21.400170725226502</v>
      </c>
      <c r="W43" s="99">
        <f t="shared" ca="1" si="14"/>
        <v>21.400170719987798</v>
      </c>
      <c r="X43" s="99">
        <f t="shared" ca="1" si="14"/>
        <v>21.400170714749098</v>
      </c>
      <c r="Y43" s="99">
        <f t="shared" ca="1" si="14"/>
        <v>21.400170709510398</v>
      </c>
      <c r="Z43" s="99">
        <f t="shared" ca="1" si="14"/>
        <v>21.400170704271698</v>
      </c>
      <c r="AA43" s="99">
        <f t="shared" ca="1" si="14"/>
        <v>21.400170699032998</v>
      </c>
      <c r="AB43" s="99">
        <f t="shared" ca="1" si="14"/>
        <v>21.400170693794298</v>
      </c>
      <c r="AC43" s="99">
        <f t="shared" ca="1" si="14"/>
        <v>21.400170688555594</v>
      </c>
      <c r="AD43" s="99">
        <f t="shared" ca="1" si="14"/>
        <v>21.40017068331689</v>
      </c>
      <c r="AE43" s="99">
        <f t="shared" ca="1" si="14"/>
        <v>21.400170678078187</v>
      </c>
      <c r="AF43" s="99">
        <f t="shared" ca="1" si="14"/>
        <v>21.400170672839486</v>
      </c>
      <c r="AG43" s="99">
        <f t="shared" ca="1" si="14"/>
        <v>21.400170667600786</v>
      </c>
      <c r="AH43" s="99">
        <f t="shared" ca="1" si="14"/>
        <v>21.400170662362086</v>
      </c>
      <c r="AI43" s="99">
        <f t="shared" ca="1" si="14"/>
        <v>21.400170657123386</v>
      </c>
      <c r="AJ43" s="99">
        <f t="shared" ca="1" si="14"/>
        <v>21.400170651884686</v>
      </c>
      <c r="AK43" s="99">
        <f t="shared" ca="1" si="14"/>
        <v>21.400170646645986</v>
      </c>
      <c r="AL43" s="99">
        <f t="shared" ca="1" si="14"/>
        <v>21.400170641407286</v>
      </c>
      <c r="AM43" s="99">
        <f t="shared" ca="1" si="14"/>
        <v>21.400170636168586</v>
      </c>
      <c r="AN43" s="99">
        <f t="shared" ca="1" si="14"/>
        <v>21.400170630929882</v>
      </c>
      <c r="AO43" s="99">
        <f t="shared" ca="1" si="14"/>
        <v>21.400170625691182</v>
      </c>
      <c r="AP43" s="99">
        <f t="shared" ca="1" si="14"/>
        <v>21.400170620452478</v>
      </c>
      <c r="AQ43" s="99">
        <f t="shared" ca="1" si="14"/>
        <v>21.400170615213778</v>
      </c>
      <c r="AR43" s="99">
        <f t="shared" ca="1" si="14"/>
        <v>21.400170609975074</v>
      </c>
      <c r="AS43" s="99">
        <f t="shared" ref="I43:BE48" ca="1" si="15">$E$3*(AR42)+(1-2*$E$3)*AR43+$E$3*AR44</f>
        <v>21.400170604736374</v>
      </c>
      <c r="AT43" s="99">
        <f t="shared" ca="1" si="15"/>
        <v>21.400170599497674</v>
      </c>
      <c r="AU43" s="99">
        <f t="shared" ca="1" si="15"/>
        <v>21.400170594258974</v>
      </c>
      <c r="AV43" s="99">
        <f t="shared" ca="1" si="15"/>
        <v>21.400170589020274</v>
      </c>
      <c r="AW43" s="99">
        <f t="shared" ca="1" si="15"/>
        <v>21.40017058378157</v>
      </c>
      <c r="AX43" s="99">
        <f t="shared" ca="1" si="15"/>
        <v>21.400170578542866</v>
      </c>
      <c r="AY43" s="99">
        <f t="shared" ca="1" si="15"/>
        <v>21.400170573304163</v>
      </c>
      <c r="AZ43" s="99">
        <f t="shared" ca="1" si="15"/>
        <v>21.400170568065462</v>
      </c>
      <c r="BA43" s="99">
        <f t="shared" ca="1" si="15"/>
        <v>21.400170562826762</v>
      </c>
      <c r="BB43" s="99">
        <f t="shared" ca="1" si="15"/>
        <v>21.400170557588062</v>
      </c>
      <c r="BC43" s="99">
        <f t="shared" ca="1" si="15"/>
        <v>21.400170552349362</v>
      </c>
      <c r="BD43" s="99">
        <f t="shared" ca="1" si="15"/>
        <v>21.400170547110662</v>
      </c>
      <c r="BE43" s="99">
        <f t="shared" ca="1" si="15"/>
        <v>21.400170541871962</v>
      </c>
      <c r="BF43" s="96">
        <f ca="1">EXP(Workings!$B$16*'PDE 2'!F43+Workings!$B$17*'PDE 2'!$BE$2)*BE43</f>
        <v>365.6719600427536</v>
      </c>
    </row>
    <row r="44" spans="1:58" x14ac:dyDescent="0.25">
      <c r="A44" s="104">
        <f t="shared" ca="1" si="9"/>
        <v>1.429244860716973E-3</v>
      </c>
      <c r="B44" s="99" cm="1">
        <f t="array" ref="B44">black76(1,Workings!$B$7,E44*Workings!$B$20,Workings!$B$5,Workings!$B$1,Workings!$B$1+2/365,Workings!$B$8)</f>
        <v>386.75600869953735</v>
      </c>
      <c r="C44" s="99">
        <f t="shared" ca="1" si="11"/>
        <v>385.63204596748596</v>
      </c>
      <c r="D44" s="86">
        <v>38</v>
      </c>
      <c r="E44" s="99">
        <f t="shared" si="12"/>
        <v>786.40319999999997</v>
      </c>
      <c r="F44" s="99">
        <f t="shared" si="1"/>
        <v>6.6674696380006697</v>
      </c>
      <c r="G44" s="64">
        <f>MAX(EXP($F44)-Workings!$B$7,0)*EXP(-Workings!$B$16*'PDE 2'!$F44)</f>
        <v>22.321025772796144</v>
      </c>
      <c r="H44" s="99">
        <f t="shared" ca="1" si="4"/>
        <v>22.321025767819339</v>
      </c>
      <c r="I44" s="99">
        <f t="shared" ca="1" si="15"/>
        <v>22.321025762842538</v>
      </c>
      <c r="J44" s="99">
        <f t="shared" ca="1" si="15"/>
        <v>22.321025757865733</v>
      </c>
      <c r="K44" s="99">
        <f t="shared" ca="1" si="15"/>
        <v>22.321025752888932</v>
      </c>
      <c r="L44" s="99">
        <f t="shared" ca="1" si="15"/>
        <v>22.321025747912124</v>
      </c>
      <c r="M44" s="99">
        <f t="shared" ca="1" si="15"/>
        <v>22.321025742935319</v>
      </c>
      <c r="N44" s="99">
        <f t="shared" ca="1" si="15"/>
        <v>22.321025737958511</v>
      </c>
      <c r="O44" s="99">
        <f t="shared" ca="1" si="15"/>
        <v>22.321025732981706</v>
      </c>
      <c r="P44" s="99">
        <f t="shared" ca="1" si="15"/>
        <v>22.321025728004901</v>
      </c>
      <c r="Q44" s="99">
        <f t="shared" ca="1" si="15"/>
        <v>22.321025723028097</v>
      </c>
      <c r="R44" s="99">
        <f t="shared" ca="1" si="15"/>
        <v>22.321025718051295</v>
      </c>
      <c r="S44" s="99">
        <f t="shared" ca="1" si="15"/>
        <v>22.321025713074487</v>
      </c>
      <c r="T44" s="99">
        <f t="shared" ca="1" si="15"/>
        <v>22.321025708097682</v>
      </c>
      <c r="U44" s="99">
        <f t="shared" ca="1" si="15"/>
        <v>22.321025703120878</v>
      </c>
      <c r="V44" s="99">
        <f t="shared" ca="1" si="15"/>
        <v>22.321025698144073</v>
      </c>
      <c r="W44" s="99">
        <f t="shared" ca="1" si="15"/>
        <v>22.321025693167268</v>
      </c>
      <c r="X44" s="99">
        <f t="shared" ca="1" si="15"/>
        <v>22.321025688190463</v>
      </c>
      <c r="Y44" s="99">
        <f t="shared" ca="1" si="15"/>
        <v>22.321025683213659</v>
      </c>
      <c r="Z44" s="99">
        <f t="shared" ca="1" si="15"/>
        <v>22.321025678236854</v>
      </c>
      <c r="AA44" s="99">
        <f t="shared" ca="1" si="15"/>
        <v>22.321025673260049</v>
      </c>
      <c r="AB44" s="99">
        <f t="shared" ca="1" si="15"/>
        <v>22.321025668283244</v>
      </c>
      <c r="AC44" s="99">
        <f t="shared" ca="1" si="15"/>
        <v>22.32102566330644</v>
      </c>
      <c r="AD44" s="99">
        <f t="shared" ca="1" si="15"/>
        <v>22.321025658329635</v>
      </c>
      <c r="AE44" s="99">
        <f t="shared" ca="1" si="15"/>
        <v>22.321025653352834</v>
      </c>
      <c r="AF44" s="99">
        <f t="shared" ca="1" si="15"/>
        <v>22.321025648376029</v>
      </c>
      <c r="AG44" s="99">
        <f t="shared" ca="1" si="15"/>
        <v>22.321025643399224</v>
      </c>
      <c r="AH44" s="99">
        <f t="shared" ca="1" si="15"/>
        <v>22.321025638422416</v>
      </c>
      <c r="AI44" s="99">
        <f t="shared" ca="1" si="15"/>
        <v>22.321025633445611</v>
      </c>
      <c r="AJ44" s="99">
        <f t="shared" ca="1" si="15"/>
        <v>22.321025628468806</v>
      </c>
      <c r="AK44" s="99">
        <f t="shared" ca="1" si="15"/>
        <v>22.321025623492002</v>
      </c>
      <c r="AL44" s="99">
        <f t="shared" ca="1" si="15"/>
        <v>22.321025618515201</v>
      </c>
      <c r="AM44" s="99">
        <f t="shared" ca="1" si="15"/>
        <v>22.321025613538396</v>
      </c>
      <c r="AN44" s="99">
        <f t="shared" ca="1" si="15"/>
        <v>22.321025608561591</v>
      </c>
      <c r="AO44" s="99">
        <f t="shared" ca="1" si="15"/>
        <v>22.321025603584786</v>
      </c>
      <c r="AP44" s="99">
        <f t="shared" ca="1" si="15"/>
        <v>22.321025598607982</v>
      </c>
      <c r="AQ44" s="99">
        <f t="shared" ca="1" si="15"/>
        <v>22.321025593631177</v>
      </c>
      <c r="AR44" s="99">
        <f t="shared" ca="1" si="15"/>
        <v>22.321025588654372</v>
      </c>
      <c r="AS44" s="99">
        <f t="shared" ca="1" si="15"/>
        <v>22.321025583677567</v>
      </c>
      <c r="AT44" s="99">
        <f t="shared" ca="1" si="15"/>
        <v>22.321025578700763</v>
      </c>
      <c r="AU44" s="99">
        <f t="shared" ca="1" si="15"/>
        <v>22.321025573723958</v>
      </c>
      <c r="AV44" s="99">
        <f t="shared" ca="1" si="15"/>
        <v>22.321025568747153</v>
      </c>
      <c r="AW44" s="99">
        <f t="shared" ca="1" si="15"/>
        <v>22.321025563770348</v>
      </c>
      <c r="AX44" s="99">
        <f t="shared" ca="1" si="15"/>
        <v>22.321025558793544</v>
      </c>
      <c r="AY44" s="99">
        <f t="shared" ca="1" si="15"/>
        <v>22.321025553816739</v>
      </c>
      <c r="AZ44" s="99">
        <f t="shared" ca="1" si="15"/>
        <v>22.321025548839934</v>
      </c>
      <c r="BA44" s="99">
        <f t="shared" ca="1" si="15"/>
        <v>22.321025543863133</v>
      </c>
      <c r="BB44" s="99">
        <f t="shared" ca="1" si="15"/>
        <v>22.321025538886325</v>
      </c>
      <c r="BC44" s="99">
        <f t="shared" ca="1" si="15"/>
        <v>22.32102553390952</v>
      </c>
      <c r="BD44" s="99">
        <f t="shared" ca="1" si="15"/>
        <v>22.321025528932715</v>
      </c>
      <c r="BE44" s="99">
        <f t="shared" ca="1" si="15"/>
        <v>22.32102552395591</v>
      </c>
      <c r="BF44" s="96">
        <f ca="1">EXP(Workings!$B$16*'PDE 2'!F44+Workings!$B$17*'PDE 2'!$BE$2)*BE44</f>
        <v>385.63204596748596</v>
      </c>
    </row>
    <row r="45" spans="1:58" x14ac:dyDescent="0.25">
      <c r="A45" s="104">
        <f t="shared" ca="1" si="9"/>
        <v>1.4432938995350036E-3</v>
      </c>
      <c r="B45" s="99" cm="1">
        <f t="array" ref="B45">black76(1,Workings!$B$7,E45*Workings!$B$20,Workings!$B$5,Workings!$B$1,Workings!$B$1+2/365,Workings!$B$8)</f>
        <v>406.75600869953735</v>
      </c>
      <c r="C45" s="99">
        <f t="shared" ca="1" si="11"/>
        <v>405.59213188041184</v>
      </c>
      <c r="D45" s="86">
        <v>39</v>
      </c>
      <c r="E45" s="99">
        <f t="shared" si="12"/>
        <v>806.40319999999997</v>
      </c>
      <c r="F45" s="99">
        <f t="shared" si="1"/>
        <v>6.6925838655631988</v>
      </c>
      <c r="G45" s="64">
        <f>MAX(EXP($F45)-Workings!$B$7,0)*EXP(-Workings!$B$16*'PDE 2'!$F45)</f>
        <v>23.225558864179924</v>
      </c>
      <c r="H45" s="99">
        <f t="shared" ca="1" si="4"/>
        <v>23.22555885944508</v>
      </c>
      <c r="I45" s="99">
        <f t="shared" ca="1" si="15"/>
        <v>23.225558854710236</v>
      </c>
      <c r="J45" s="99">
        <f t="shared" ca="1" si="15"/>
        <v>23.225558849975389</v>
      </c>
      <c r="K45" s="99">
        <f t="shared" ca="1" si="15"/>
        <v>23.225558845240545</v>
      </c>
      <c r="L45" s="99">
        <f t="shared" ca="1" si="15"/>
        <v>23.225558840505698</v>
      </c>
      <c r="M45" s="99">
        <f t="shared" ca="1" si="15"/>
        <v>23.225558835770855</v>
      </c>
      <c r="N45" s="99">
        <f t="shared" ca="1" si="15"/>
        <v>23.225558831036011</v>
      </c>
      <c r="O45" s="99">
        <f t="shared" ca="1" si="15"/>
        <v>23.225558826301167</v>
      </c>
      <c r="P45" s="99">
        <f t="shared" ca="1" si="15"/>
        <v>23.22555882156632</v>
      </c>
      <c r="Q45" s="99">
        <f t="shared" ca="1" si="15"/>
        <v>23.225558816831473</v>
      </c>
      <c r="R45" s="99">
        <f t="shared" ca="1" si="15"/>
        <v>23.225558812096629</v>
      </c>
      <c r="S45" s="99">
        <f t="shared" ca="1" si="15"/>
        <v>23.225558807361786</v>
      </c>
      <c r="T45" s="99">
        <f t="shared" ca="1" si="15"/>
        <v>23.225558802626942</v>
      </c>
      <c r="U45" s="99">
        <f t="shared" ca="1" si="15"/>
        <v>23.225558797892095</v>
      </c>
      <c r="V45" s="99">
        <f t="shared" ca="1" si="15"/>
        <v>23.225558793157248</v>
      </c>
      <c r="W45" s="99">
        <f t="shared" ca="1" si="15"/>
        <v>23.225558788422401</v>
      </c>
      <c r="X45" s="99">
        <f t="shared" ca="1" si="15"/>
        <v>23.225558783687557</v>
      </c>
      <c r="Y45" s="99">
        <f t="shared" ca="1" si="15"/>
        <v>23.225558778952713</v>
      </c>
      <c r="Z45" s="99">
        <f t="shared" ca="1" si="15"/>
        <v>23.225558774217866</v>
      </c>
      <c r="AA45" s="99">
        <f t="shared" ca="1" si="15"/>
        <v>23.225558769483023</v>
      </c>
      <c r="AB45" s="99">
        <f t="shared" ca="1" si="15"/>
        <v>23.225558764748175</v>
      </c>
      <c r="AC45" s="99">
        <f t="shared" ca="1" si="15"/>
        <v>23.225558760013332</v>
      </c>
      <c r="AD45" s="99">
        <f t="shared" ca="1" si="15"/>
        <v>23.225558755278485</v>
      </c>
      <c r="AE45" s="99">
        <f t="shared" ca="1" si="15"/>
        <v>23.225558750543641</v>
      </c>
      <c r="AF45" s="99">
        <f t="shared" ca="1" si="15"/>
        <v>23.225558745808797</v>
      </c>
      <c r="AG45" s="99">
        <f t="shared" ca="1" si="15"/>
        <v>23.22555874107395</v>
      </c>
      <c r="AH45" s="99">
        <f t="shared" ca="1" si="15"/>
        <v>23.225558736339107</v>
      </c>
      <c r="AI45" s="99">
        <f t="shared" ca="1" si="15"/>
        <v>23.225558731604259</v>
      </c>
      <c r="AJ45" s="99">
        <f t="shared" ca="1" si="15"/>
        <v>23.225558726869416</v>
      </c>
      <c r="AK45" s="99">
        <f t="shared" ca="1" si="15"/>
        <v>23.225558722134569</v>
      </c>
      <c r="AL45" s="99">
        <f t="shared" ca="1" si="15"/>
        <v>23.225558717399721</v>
      </c>
      <c r="AM45" s="99">
        <f t="shared" ca="1" si="15"/>
        <v>23.225558712664878</v>
      </c>
      <c r="AN45" s="99">
        <f t="shared" ca="1" si="15"/>
        <v>23.225558707930034</v>
      </c>
      <c r="AO45" s="99">
        <f t="shared" ca="1" si="15"/>
        <v>23.22555870319519</v>
      </c>
      <c r="AP45" s="99">
        <f t="shared" ca="1" si="15"/>
        <v>23.225558698460343</v>
      </c>
      <c r="AQ45" s="99">
        <f t="shared" ca="1" si="15"/>
        <v>23.225558693725496</v>
      </c>
      <c r="AR45" s="99">
        <f t="shared" ca="1" si="15"/>
        <v>23.225558688990649</v>
      </c>
      <c r="AS45" s="99">
        <f t="shared" ca="1" si="15"/>
        <v>23.225558684255805</v>
      </c>
      <c r="AT45" s="99">
        <f t="shared" ca="1" si="15"/>
        <v>23.225558679520962</v>
      </c>
      <c r="AU45" s="99">
        <f t="shared" ca="1" si="15"/>
        <v>23.225558674786118</v>
      </c>
      <c r="AV45" s="99">
        <f t="shared" ca="1" si="15"/>
        <v>23.225558670051271</v>
      </c>
      <c r="AW45" s="99">
        <f t="shared" ca="1" si="15"/>
        <v>23.225558665316424</v>
      </c>
      <c r="AX45" s="99">
        <f t="shared" ca="1" si="15"/>
        <v>23.22555866058158</v>
      </c>
      <c r="AY45" s="99">
        <f t="shared" ca="1" si="15"/>
        <v>23.225558655846733</v>
      </c>
      <c r="AZ45" s="99">
        <f t="shared" ca="1" si="15"/>
        <v>23.225558651111889</v>
      </c>
      <c r="BA45" s="99">
        <f t="shared" ca="1" si="15"/>
        <v>23.225558646377042</v>
      </c>
      <c r="BB45" s="99">
        <f t="shared" ca="1" si="15"/>
        <v>23.225558641642195</v>
      </c>
      <c r="BC45" s="99">
        <f t="shared" ca="1" si="15"/>
        <v>23.225558636907351</v>
      </c>
      <c r="BD45" s="99">
        <f t="shared" ca="1" si="15"/>
        <v>23.225558632172504</v>
      </c>
      <c r="BE45" s="99">
        <f t="shared" ca="1" si="15"/>
        <v>23.22555862743766</v>
      </c>
      <c r="BF45" s="96">
        <f ca="1">EXP(Workings!$B$16*'PDE 2'!F45+Workings!$B$17*'PDE 2'!$BE$2)*BE45</f>
        <v>405.59213188041184</v>
      </c>
    </row>
    <row r="46" spans="1:58" x14ac:dyDescent="0.25">
      <c r="A46" s="104">
        <f t="shared" ca="1" si="9"/>
        <v>1.4566629424136598E-3</v>
      </c>
      <c r="B46" s="99" cm="1">
        <f t="array" ref="B46">black76(1,Workings!$B$7,E46*Workings!$B$20,Workings!$B$5,Workings!$B$1,Workings!$B$1+2/365,Workings!$B$8)</f>
        <v>426.75600869953735</v>
      </c>
      <c r="C46" s="99">
        <f t="shared" ca="1" si="11"/>
        <v>425.55221778260528</v>
      </c>
      <c r="D46" s="86">
        <v>40</v>
      </c>
      <c r="E46" s="99">
        <f t="shared" si="12"/>
        <v>826.40319999999997</v>
      </c>
      <c r="F46" s="99">
        <f t="shared" si="1"/>
        <v>6.7170827900147758</v>
      </c>
      <c r="G46" s="64">
        <f>MAX(EXP($F46)-Workings!$B$7,0)*EXP(-Workings!$B$16*'PDE 2'!$F46)</f>
        <v>24.114563605810105</v>
      </c>
      <c r="H46" s="99">
        <f t="shared" ca="1" si="4"/>
        <v>24.11456360129927</v>
      </c>
      <c r="I46" s="99">
        <f t="shared" ca="1" si="15"/>
        <v>24.11456359678844</v>
      </c>
      <c r="J46" s="99">
        <f t="shared" ca="1" si="15"/>
        <v>24.114563592277602</v>
      </c>
      <c r="K46" s="99">
        <f t="shared" ca="1" si="15"/>
        <v>24.114563587766767</v>
      </c>
      <c r="L46" s="99">
        <f t="shared" ca="1" si="15"/>
        <v>24.114563583255933</v>
      </c>
      <c r="M46" s="99">
        <f t="shared" ca="1" si="15"/>
        <v>24.114563578745098</v>
      </c>
      <c r="N46" s="99">
        <f t="shared" ca="1" si="15"/>
        <v>24.114563574234264</v>
      </c>
      <c r="O46" s="99">
        <f t="shared" ca="1" si="15"/>
        <v>24.114563569723426</v>
      </c>
      <c r="P46" s="99">
        <f t="shared" ca="1" si="15"/>
        <v>24.114563565212592</v>
      </c>
      <c r="Q46" s="99">
        <f t="shared" ca="1" si="15"/>
        <v>24.114563560701757</v>
      </c>
      <c r="R46" s="99">
        <f t="shared" ca="1" si="15"/>
        <v>24.114563556190923</v>
      </c>
      <c r="S46" s="99">
        <f t="shared" ca="1" si="15"/>
        <v>24.114563551680085</v>
      </c>
      <c r="T46" s="99">
        <f t="shared" ca="1" si="15"/>
        <v>24.114563547169251</v>
      </c>
      <c r="U46" s="99">
        <f t="shared" ca="1" si="15"/>
        <v>24.114563542658416</v>
      </c>
      <c r="V46" s="99">
        <f t="shared" ca="1" si="15"/>
        <v>24.114563538147582</v>
      </c>
      <c r="W46" s="99">
        <f t="shared" ca="1" si="15"/>
        <v>24.114563533636751</v>
      </c>
      <c r="X46" s="99">
        <f t="shared" ca="1" si="15"/>
        <v>24.114563529125913</v>
      </c>
      <c r="Y46" s="99">
        <f t="shared" ca="1" si="15"/>
        <v>24.114563524615079</v>
      </c>
      <c r="Z46" s="99">
        <f t="shared" ca="1" si="15"/>
        <v>24.114563520104245</v>
      </c>
      <c r="AA46" s="99">
        <f t="shared" ca="1" si="15"/>
        <v>24.11456351559341</v>
      </c>
      <c r="AB46" s="99">
        <f t="shared" ca="1" si="15"/>
        <v>24.114563511082576</v>
      </c>
      <c r="AC46" s="99">
        <f t="shared" ca="1" si="15"/>
        <v>24.114563506571738</v>
      </c>
      <c r="AD46" s="99">
        <f t="shared" ca="1" si="15"/>
        <v>24.114563502060903</v>
      </c>
      <c r="AE46" s="99">
        <f t="shared" ca="1" si="15"/>
        <v>24.114563497550073</v>
      </c>
      <c r="AF46" s="99">
        <f t="shared" ca="1" si="15"/>
        <v>24.114563493039238</v>
      </c>
      <c r="AG46" s="99">
        <f t="shared" ca="1" si="15"/>
        <v>24.114563488528404</v>
      </c>
      <c r="AH46" s="99">
        <f t="shared" ca="1" si="15"/>
        <v>24.114563484017566</v>
      </c>
      <c r="AI46" s="99">
        <f t="shared" ca="1" si="15"/>
        <v>24.114563479506732</v>
      </c>
      <c r="AJ46" s="99">
        <f t="shared" ca="1" si="15"/>
        <v>24.114563474995901</v>
      </c>
      <c r="AK46" s="99">
        <f t="shared" ca="1" si="15"/>
        <v>24.114563470485063</v>
      </c>
      <c r="AL46" s="99">
        <f t="shared" ca="1" si="15"/>
        <v>24.114563465974229</v>
      </c>
      <c r="AM46" s="99">
        <f t="shared" ca="1" si="15"/>
        <v>24.114563461463394</v>
      </c>
      <c r="AN46" s="99">
        <f t="shared" ca="1" si="15"/>
        <v>24.11456345695256</v>
      </c>
      <c r="AO46" s="99">
        <f t="shared" ca="1" si="15"/>
        <v>24.114563452441725</v>
      </c>
      <c r="AP46" s="99">
        <f t="shared" ca="1" si="15"/>
        <v>24.114563447930891</v>
      </c>
      <c r="AQ46" s="99">
        <f t="shared" ca="1" si="15"/>
        <v>24.114563443420057</v>
      </c>
      <c r="AR46" s="99">
        <f t="shared" ca="1" si="15"/>
        <v>24.114563438909222</v>
      </c>
      <c r="AS46" s="99">
        <f t="shared" ca="1" si="15"/>
        <v>24.114563434398388</v>
      </c>
      <c r="AT46" s="99">
        <f t="shared" ca="1" si="15"/>
        <v>24.11456342988755</v>
      </c>
      <c r="AU46" s="99">
        <f t="shared" ca="1" si="15"/>
        <v>24.114563425376716</v>
      </c>
      <c r="AV46" s="99">
        <f t="shared" ca="1" si="15"/>
        <v>24.114563420865881</v>
      </c>
      <c r="AW46" s="99">
        <f t="shared" ca="1" si="15"/>
        <v>24.114563416355047</v>
      </c>
      <c r="AX46" s="99">
        <f t="shared" ca="1" si="15"/>
        <v>24.114563411844212</v>
      </c>
      <c r="AY46" s="99">
        <f t="shared" ca="1" si="15"/>
        <v>24.114563407333375</v>
      </c>
      <c r="AZ46" s="99">
        <f t="shared" ca="1" si="15"/>
        <v>24.11456340282254</v>
      </c>
      <c r="BA46" s="99">
        <f t="shared" ca="1" si="15"/>
        <v>24.114563398311706</v>
      </c>
      <c r="BB46" s="99">
        <f t="shared" ca="1" si="15"/>
        <v>24.114563393800871</v>
      </c>
      <c r="BC46" s="99">
        <f t="shared" ca="1" si="15"/>
        <v>24.114563389290037</v>
      </c>
      <c r="BD46" s="99">
        <f t="shared" ca="1" si="15"/>
        <v>24.114563384779199</v>
      </c>
      <c r="BE46" s="99">
        <f t="shared" ca="1" si="15"/>
        <v>24.114563380268365</v>
      </c>
      <c r="BF46" s="96">
        <f ca="1">EXP(Workings!$B$16*'PDE 2'!F46+Workings!$B$17*'PDE 2'!$BE$2)*BE46</f>
        <v>425.55221778260528</v>
      </c>
    </row>
    <row r="47" spans="1:58" x14ac:dyDescent="0.25">
      <c r="A47" s="104">
        <f t="shared" ca="1" si="9"/>
        <v>1.4694001919176665E-3</v>
      </c>
      <c r="B47" s="99" cm="1">
        <f t="array" ref="B47">black76(1,Workings!$B$7,E47*Workings!$B$20,Workings!$B$5,Workings!$B$1,Workings!$B$1+2/365,Workings!$B$8)</f>
        <v>446.75600869953735</v>
      </c>
      <c r="C47" s="99">
        <f t="shared" ca="1" si="11"/>
        <v>445.51230367501762</v>
      </c>
      <c r="D47" s="86">
        <v>41</v>
      </c>
      <c r="E47" s="99">
        <f t="shared" si="12"/>
        <v>846.40319999999997</v>
      </c>
      <c r="F47" s="99">
        <f t="shared" si="1"/>
        <v>6.7409958418152245</v>
      </c>
      <c r="G47" s="64">
        <f>MAX(EXP($F47)-Workings!$B$7,0)*EXP(-Workings!$B$16*'PDE 2'!$F47)</f>
        <v>24.988774660327028</v>
      </c>
      <c r="H47" s="99">
        <f t="shared" ca="1" si="4"/>
        <v>24.988774656024002</v>
      </c>
      <c r="I47" s="99">
        <f t="shared" ca="1" si="15"/>
        <v>24.988774651720977</v>
      </c>
      <c r="J47" s="99">
        <f t="shared" ca="1" si="15"/>
        <v>24.988774647417948</v>
      </c>
      <c r="K47" s="99">
        <f t="shared" ca="1" si="15"/>
        <v>24.988774643114922</v>
      </c>
      <c r="L47" s="99">
        <f t="shared" ca="1" si="15"/>
        <v>24.988774638811893</v>
      </c>
      <c r="M47" s="99">
        <f t="shared" ca="1" si="15"/>
        <v>24.988774634508864</v>
      </c>
      <c r="N47" s="99">
        <f t="shared" ca="1" si="15"/>
        <v>24.988774630205839</v>
      </c>
      <c r="O47" s="99">
        <f t="shared" ca="1" si="15"/>
        <v>24.988774625902813</v>
      </c>
      <c r="P47" s="99">
        <f t="shared" ca="1" si="15"/>
        <v>24.988774621599784</v>
      </c>
      <c r="Q47" s="99">
        <f t="shared" ca="1" si="15"/>
        <v>24.988774617296755</v>
      </c>
      <c r="R47" s="99">
        <f t="shared" ca="1" si="15"/>
        <v>24.98877461299373</v>
      </c>
      <c r="S47" s="99">
        <f t="shared" ca="1" si="15"/>
        <v>24.988774608690704</v>
      </c>
      <c r="T47" s="99">
        <f t="shared" ca="1" si="15"/>
        <v>24.988774604387675</v>
      </c>
      <c r="U47" s="99">
        <f t="shared" ca="1" si="15"/>
        <v>24.98877460008465</v>
      </c>
      <c r="V47" s="99">
        <f t="shared" ca="1" si="15"/>
        <v>24.988774595781621</v>
      </c>
      <c r="W47" s="99">
        <f t="shared" ca="1" si="15"/>
        <v>24.988774591478595</v>
      </c>
      <c r="X47" s="99">
        <f t="shared" ca="1" si="15"/>
        <v>24.98877458717557</v>
      </c>
      <c r="Y47" s="99">
        <f t="shared" ca="1" si="15"/>
        <v>24.988774582872541</v>
      </c>
      <c r="Z47" s="99">
        <f t="shared" ca="1" si="15"/>
        <v>24.988774578569515</v>
      </c>
      <c r="AA47" s="99">
        <f t="shared" ca="1" si="15"/>
        <v>24.98877457426649</v>
      </c>
      <c r="AB47" s="99">
        <f t="shared" ca="1" si="15"/>
        <v>24.988774569963461</v>
      </c>
      <c r="AC47" s="99">
        <f t="shared" ca="1" si="15"/>
        <v>24.988774565660435</v>
      </c>
      <c r="AD47" s="99">
        <f t="shared" ca="1" si="15"/>
        <v>24.988774561357406</v>
      </c>
      <c r="AE47" s="99">
        <f t="shared" ca="1" si="15"/>
        <v>24.988774557054381</v>
      </c>
      <c r="AF47" s="99">
        <f t="shared" ca="1" si="15"/>
        <v>24.988774552751355</v>
      </c>
      <c r="AG47" s="99">
        <f t="shared" ca="1" si="15"/>
        <v>24.988774548448326</v>
      </c>
      <c r="AH47" s="99">
        <f t="shared" ca="1" si="15"/>
        <v>24.988774544145301</v>
      </c>
      <c r="AI47" s="99">
        <f t="shared" ca="1" si="15"/>
        <v>24.988774539842272</v>
      </c>
      <c r="AJ47" s="99">
        <f t="shared" ca="1" si="15"/>
        <v>24.988774535539243</v>
      </c>
      <c r="AK47" s="99">
        <f t="shared" ca="1" si="15"/>
        <v>24.988774531236217</v>
      </c>
      <c r="AL47" s="99">
        <f t="shared" ca="1" si="15"/>
        <v>24.988774526933192</v>
      </c>
      <c r="AM47" s="99">
        <f t="shared" ca="1" si="15"/>
        <v>24.988774522630163</v>
      </c>
      <c r="AN47" s="99">
        <f t="shared" ca="1" si="15"/>
        <v>24.988774518327137</v>
      </c>
      <c r="AO47" s="99">
        <f t="shared" ca="1" si="15"/>
        <v>24.988774514024112</v>
      </c>
      <c r="AP47" s="99">
        <f t="shared" ca="1" si="15"/>
        <v>24.988774509721086</v>
      </c>
      <c r="AQ47" s="99">
        <f t="shared" ca="1" si="15"/>
        <v>24.988774505418057</v>
      </c>
      <c r="AR47" s="99">
        <f t="shared" ca="1" si="15"/>
        <v>24.988774501115028</v>
      </c>
      <c r="AS47" s="99">
        <f t="shared" ca="1" si="15"/>
        <v>24.988774496812002</v>
      </c>
      <c r="AT47" s="99">
        <f t="shared" ca="1" si="15"/>
        <v>24.988774492508977</v>
      </c>
      <c r="AU47" s="99">
        <f t="shared" ca="1" si="15"/>
        <v>24.988774488205948</v>
      </c>
      <c r="AV47" s="99">
        <f t="shared" ca="1" si="15"/>
        <v>24.988774483902919</v>
      </c>
      <c r="AW47" s="99">
        <f t="shared" ca="1" si="15"/>
        <v>24.988774479599893</v>
      </c>
      <c r="AX47" s="99">
        <f t="shared" ca="1" si="15"/>
        <v>24.988774475296868</v>
      </c>
      <c r="AY47" s="99">
        <f t="shared" ca="1" si="15"/>
        <v>24.988774470993839</v>
      </c>
      <c r="AZ47" s="99">
        <f t="shared" ca="1" si="15"/>
        <v>24.988774466690813</v>
      </c>
      <c r="BA47" s="99">
        <f t="shared" ca="1" si="15"/>
        <v>24.988774462387784</v>
      </c>
      <c r="BB47" s="99">
        <f t="shared" ca="1" si="15"/>
        <v>24.988774458084759</v>
      </c>
      <c r="BC47" s="99">
        <f t="shared" ca="1" si="15"/>
        <v>24.988774453781733</v>
      </c>
      <c r="BD47" s="99">
        <f t="shared" ca="1" si="15"/>
        <v>24.988774449478704</v>
      </c>
      <c r="BE47" s="99">
        <f t="shared" ca="1" si="15"/>
        <v>24.988774445175679</v>
      </c>
      <c r="BF47" s="96">
        <f ca="1">EXP(Workings!$B$16*'PDE 2'!F47+Workings!$B$17*'PDE 2'!$BE$2)*BE47</f>
        <v>445.51230367501762</v>
      </c>
    </row>
    <row r="48" spans="1:58" x14ac:dyDescent="0.25">
      <c r="A48" s="104">
        <f t="shared" ca="1" si="9"/>
        <v>1.481549399911905E-3</v>
      </c>
      <c r="B48" s="99" cm="1">
        <f t="array" ref="B48">black76(1,Workings!$B$7,E48*Workings!$B$20,Workings!$B$5,Workings!$B$1,Workings!$B$1+2/365,Workings!$B$8)</f>
        <v>466.75600869953735</v>
      </c>
      <c r="C48" s="99">
        <f t="shared" ca="1" si="11"/>
        <v>465.47238955849559</v>
      </c>
      <c r="D48" s="86">
        <v>42</v>
      </c>
      <c r="E48" s="99">
        <f t="shared" si="12"/>
        <v>866.40319999999997</v>
      </c>
      <c r="F48" s="99">
        <f t="shared" si="1"/>
        <v>6.7643503891240968</v>
      </c>
      <c r="G48" s="64">
        <f>MAX(EXP($F48)-Workings!$B$7,0)*EXP(-Workings!$B$16*'PDE 2'!$F48)</f>
        <v>25.848873552315844</v>
      </c>
      <c r="H48" s="99">
        <f t="shared" ca="1" si="4"/>
        <v>25.848873548205958</v>
      </c>
      <c r="I48" s="99">
        <f t="shared" ca="1" si="15"/>
        <v>25.848873544096076</v>
      </c>
      <c r="J48" s="99">
        <f t="shared" ca="1" si="15"/>
        <v>25.848873539986194</v>
      </c>
      <c r="K48" s="99">
        <f t="shared" ca="1" si="15"/>
        <v>25.848873535876308</v>
      </c>
      <c r="L48" s="99">
        <f t="shared" ca="1" si="15"/>
        <v>25.848873531766426</v>
      </c>
      <c r="M48" s="99">
        <f t="shared" ca="1" si="15"/>
        <v>25.848873527656544</v>
      </c>
      <c r="N48" s="99">
        <f t="shared" ca="1" si="15"/>
        <v>25.848873523546661</v>
      </c>
      <c r="O48" s="99">
        <f t="shared" ca="1" si="15"/>
        <v>25.848873519436776</v>
      </c>
      <c r="P48" s="99">
        <f t="shared" ca="1" si="15"/>
        <v>25.848873515326893</v>
      </c>
      <c r="Q48" s="99">
        <f t="shared" ca="1" si="15"/>
        <v>25.848873511217011</v>
      </c>
      <c r="R48" s="99">
        <f t="shared" ca="1" si="15"/>
        <v>25.848873507107125</v>
      </c>
      <c r="S48" s="99">
        <f t="shared" ca="1" si="15"/>
        <v>25.848873502997243</v>
      </c>
      <c r="T48" s="99">
        <f t="shared" ca="1" si="15"/>
        <v>25.848873498887361</v>
      </c>
      <c r="U48" s="99">
        <f t="shared" ca="1" si="15"/>
        <v>25.848873494777479</v>
      </c>
      <c r="V48" s="99">
        <f t="shared" ca="1" si="15"/>
        <v>25.848873490667597</v>
      </c>
      <c r="W48" s="99">
        <f t="shared" ca="1" si="15"/>
        <v>25.848873486557714</v>
      </c>
      <c r="X48" s="99">
        <f t="shared" ca="1" si="15"/>
        <v>25.848873482447832</v>
      </c>
      <c r="Y48" s="99">
        <f t="shared" ca="1" si="15"/>
        <v>25.84887347833795</v>
      </c>
      <c r="Z48" s="99">
        <f t="shared" ca="1" si="15"/>
        <v>25.848873474228064</v>
      </c>
      <c r="AA48" s="99">
        <f t="shared" ca="1" si="15"/>
        <v>25.848873470118182</v>
      </c>
      <c r="AB48" s="99">
        <f t="shared" ca="1" si="15"/>
        <v>25.8488734660083</v>
      </c>
      <c r="AC48" s="99">
        <f t="shared" ca="1" si="15"/>
        <v>25.848873461898414</v>
      </c>
      <c r="AD48" s="99">
        <f t="shared" ca="1" si="15"/>
        <v>25.848873457788532</v>
      </c>
      <c r="AE48" s="99">
        <f t="shared" ca="1" si="15"/>
        <v>25.848873453678653</v>
      </c>
      <c r="AF48" s="99">
        <f t="shared" ca="1" si="15"/>
        <v>25.848873449568767</v>
      </c>
      <c r="AG48" s="99">
        <f t="shared" ca="1" si="15"/>
        <v>25.848873445458885</v>
      </c>
      <c r="AH48" s="99">
        <f t="shared" ca="1" si="15"/>
        <v>25.848873441349003</v>
      </c>
      <c r="AI48" s="99">
        <f t="shared" ca="1" si="15"/>
        <v>25.848873437239117</v>
      </c>
      <c r="AJ48" s="99">
        <f t="shared" ca="1" si="15"/>
        <v>25.848873433129235</v>
      </c>
      <c r="AK48" s="99">
        <f t="shared" ca="1" si="15"/>
        <v>25.848873429019353</v>
      </c>
      <c r="AL48" s="99">
        <f t="shared" ca="1" si="15"/>
        <v>25.848873424909467</v>
      </c>
      <c r="AM48" s="99">
        <f t="shared" ca="1" si="15"/>
        <v>25.848873420799585</v>
      </c>
      <c r="AN48" s="99">
        <f t="shared" ca="1" si="15"/>
        <v>25.848873416689703</v>
      </c>
      <c r="AO48" s="99">
        <f t="shared" ca="1" si="15"/>
        <v>25.84887341257982</v>
      </c>
      <c r="AP48" s="99">
        <f t="shared" ca="1" si="15"/>
        <v>25.848873408469938</v>
      </c>
      <c r="AQ48" s="99">
        <f t="shared" ca="1" si="15"/>
        <v>25.848873404360056</v>
      </c>
      <c r="AR48" s="99">
        <f t="shared" ca="1" si="15"/>
        <v>25.848873400250174</v>
      </c>
      <c r="AS48" s="99">
        <f t="shared" ca="1" si="15"/>
        <v>25.848873396140288</v>
      </c>
      <c r="AT48" s="99">
        <f t="shared" ca="1" si="15"/>
        <v>25.848873392030406</v>
      </c>
      <c r="AU48" s="99">
        <f t="shared" ca="1" si="15"/>
        <v>25.848873387920523</v>
      </c>
      <c r="AV48" s="99">
        <f t="shared" ca="1" si="15"/>
        <v>25.848873383810641</v>
      </c>
      <c r="AW48" s="99">
        <f t="shared" ca="1" si="15"/>
        <v>25.848873379700759</v>
      </c>
      <c r="AX48" s="99">
        <f t="shared" ca="1" si="15"/>
        <v>25.848873375590877</v>
      </c>
      <c r="AY48" s="99">
        <f t="shared" ca="1" si="15"/>
        <v>25.848873371480995</v>
      </c>
      <c r="AZ48" s="99">
        <f t="shared" ca="1" si="15"/>
        <v>25.848873367371112</v>
      </c>
      <c r="BA48" s="99">
        <f t="shared" ca="1" si="15"/>
        <v>25.848873363261227</v>
      </c>
      <c r="BB48" s="99">
        <f t="shared" ca="1" si="15"/>
        <v>25.848873359151344</v>
      </c>
      <c r="BC48" s="99">
        <f t="shared" ref="I48:BE54" ca="1" si="16">$E$3*(BB47)+(1-2*$E$3)*BB48+$E$3*BB49</f>
        <v>25.848873355041462</v>
      </c>
      <c r="BD48" s="99">
        <f t="shared" ca="1" si="16"/>
        <v>25.848873350931576</v>
      </c>
      <c r="BE48" s="99">
        <f t="shared" ca="1" si="16"/>
        <v>25.848873346821694</v>
      </c>
      <c r="BF48" s="96">
        <f ca="1">EXP(Workings!$B$16*'PDE 2'!F48+Workings!$B$17*'PDE 2'!$BE$2)*BE48</f>
        <v>465.47238955849559</v>
      </c>
    </row>
    <row r="49" spans="1:63" x14ac:dyDescent="0.25">
      <c r="A49" s="104">
        <f t="shared" ca="1" si="9"/>
        <v>1.4931503696547477E-3</v>
      </c>
      <c r="B49" s="99" cm="1">
        <f t="array" ref="B49">black76(1,Workings!$B$7,E49*Workings!$B$20,Workings!$B$5,Workings!$B$1,Workings!$B$1+2/365,Workings!$B$8)</f>
        <v>486.75600869953735</v>
      </c>
      <c r="C49" s="99">
        <f t="shared" ca="1" si="11"/>
        <v>485.4324754337942</v>
      </c>
      <c r="D49" s="86">
        <v>43</v>
      </c>
      <c r="E49" s="99">
        <f t="shared" si="12"/>
        <v>886.40319999999997</v>
      </c>
      <c r="F49" s="99">
        <f t="shared" si="1"/>
        <v>6.787171926094806</v>
      </c>
      <c r="G49" s="64">
        <f>MAX(EXP($F49)-Workings!$B$7,0)*EXP(-Workings!$B$16*'PDE 2'!$F49)</f>
        <v>26.695493715130834</v>
      </c>
      <c r="H49" s="99">
        <f t="shared" ca="1" si="4"/>
        <v>26.69549371120079</v>
      </c>
      <c r="I49" s="99">
        <f t="shared" ca="1" si="16"/>
        <v>26.695493707270749</v>
      </c>
      <c r="J49" s="99">
        <f t="shared" ca="1" si="16"/>
        <v>26.695493703340706</v>
      </c>
      <c r="K49" s="99">
        <f t="shared" ca="1" si="16"/>
        <v>26.695493699410662</v>
      </c>
      <c r="L49" s="99">
        <f t="shared" ca="1" si="16"/>
        <v>26.695493695480621</v>
      </c>
      <c r="M49" s="99">
        <f t="shared" ca="1" si="16"/>
        <v>26.695493691550578</v>
      </c>
      <c r="N49" s="99">
        <f t="shared" ca="1" si="16"/>
        <v>26.695493687620534</v>
      </c>
      <c r="O49" s="99">
        <f t="shared" ca="1" si="16"/>
        <v>26.695493683690493</v>
      </c>
      <c r="P49" s="99">
        <f t="shared" ca="1" si="16"/>
        <v>26.69549367976045</v>
      </c>
      <c r="Q49" s="99">
        <f t="shared" ca="1" si="16"/>
        <v>26.695493675830406</v>
      </c>
      <c r="R49" s="99">
        <f t="shared" ca="1" si="16"/>
        <v>26.695493671900365</v>
      </c>
      <c r="S49" s="99">
        <f t="shared" ca="1" si="16"/>
        <v>26.695493667970322</v>
      </c>
      <c r="T49" s="99">
        <f t="shared" ca="1" si="16"/>
        <v>26.695493664040281</v>
      </c>
      <c r="U49" s="99">
        <f t="shared" ca="1" si="16"/>
        <v>26.695493660110241</v>
      </c>
      <c r="V49" s="99">
        <f t="shared" ca="1" si="16"/>
        <v>26.695493656180197</v>
      </c>
      <c r="W49" s="99">
        <f t="shared" ca="1" si="16"/>
        <v>26.695493652250157</v>
      </c>
      <c r="X49" s="99">
        <f t="shared" ca="1" si="16"/>
        <v>26.695493648320117</v>
      </c>
      <c r="Y49" s="99">
        <f t="shared" ca="1" si="16"/>
        <v>26.695493644390073</v>
      </c>
      <c r="Z49" s="99">
        <f t="shared" ca="1" si="16"/>
        <v>26.695493640460032</v>
      </c>
      <c r="AA49" s="99">
        <f t="shared" ca="1" si="16"/>
        <v>26.695493636529989</v>
      </c>
      <c r="AB49" s="99">
        <f t="shared" ca="1" si="16"/>
        <v>26.695493632599945</v>
      </c>
      <c r="AC49" s="99">
        <f t="shared" ca="1" si="16"/>
        <v>26.695493628669904</v>
      </c>
      <c r="AD49" s="99">
        <f t="shared" ca="1" si="16"/>
        <v>26.695493624739861</v>
      </c>
      <c r="AE49" s="99">
        <f t="shared" ca="1" si="16"/>
        <v>26.695493620809817</v>
      </c>
      <c r="AF49" s="99">
        <f t="shared" ca="1" si="16"/>
        <v>26.695493616879777</v>
      </c>
      <c r="AG49" s="99">
        <f t="shared" ca="1" si="16"/>
        <v>26.695493612949733</v>
      </c>
      <c r="AH49" s="99">
        <f t="shared" ca="1" si="16"/>
        <v>26.695493609019689</v>
      </c>
      <c r="AI49" s="99">
        <f t="shared" ca="1" si="16"/>
        <v>26.695493605089649</v>
      </c>
      <c r="AJ49" s="99">
        <f t="shared" ca="1" si="16"/>
        <v>26.695493601159605</v>
      </c>
      <c r="AK49" s="99">
        <f t="shared" ca="1" si="16"/>
        <v>26.695493597229561</v>
      </c>
      <c r="AL49" s="99">
        <f t="shared" ca="1" si="16"/>
        <v>26.695493593299521</v>
      </c>
      <c r="AM49" s="99">
        <f t="shared" ca="1" si="16"/>
        <v>26.695493589369477</v>
      </c>
      <c r="AN49" s="99">
        <f t="shared" ca="1" si="16"/>
        <v>26.695493585439433</v>
      </c>
      <c r="AO49" s="99">
        <f t="shared" ca="1" si="16"/>
        <v>26.695493581509393</v>
      </c>
      <c r="AP49" s="99">
        <f t="shared" ca="1" si="16"/>
        <v>26.695493577579349</v>
      </c>
      <c r="AQ49" s="99">
        <f t="shared" ca="1" si="16"/>
        <v>26.695493573649305</v>
      </c>
      <c r="AR49" s="99">
        <f t="shared" ca="1" si="16"/>
        <v>26.695493569719261</v>
      </c>
      <c r="AS49" s="99">
        <f t="shared" ca="1" si="16"/>
        <v>26.695493565789217</v>
      </c>
      <c r="AT49" s="99">
        <f t="shared" ca="1" si="16"/>
        <v>26.695493561859173</v>
      </c>
      <c r="AU49" s="99">
        <f t="shared" ca="1" si="16"/>
        <v>26.695493557929129</v>
      </c>
      <c r="AV49" s="99">
        <f t="shared" ca="1" si="16"/>
        <v>26.695493553999086</v>
      </c>
      <c r="AW49" s="99">
        <f t="shared" ca="1" si="16"/>
        <v>26.695493550069045</v>
      </c>
      <c r="AX49" s="99">
        <f t="shared" ca="1" si="16"/>
        <v>26.695493546139001</v>
      </c>
      <c r="AY49" s="99">
        <f t="shared" ca="1" si="16"/>
        <v>26.695493542208958</v>
      </c>
      <c r="AZ49" s="99">
        <f t="shared" ca="1" si="16"/>
        <v>26.695493538278917</v>
      </c>
      <c r="BA49" s="99">
        <f t="shared" ca="1" si="16"/>
        <v>26.695493534348874</v>
      </c>
      <c r="BB49" s="99">
        <f t="shared" ca="1" si="16"/>
        <v>26.695493530418833</v>
      </c>
      <c r="BC49" s="99">
        <f t="shared" ca="1" si="16"/>
        <v>26.695493526488793</v>
      </c>
      <c r="BD49" s="99">
        <f t="shared" ca="1" si="16"/>
        <v>26.695493522558749</v>
      </c>
      <c r="BE49" s="99">
        <f t="shared" ca="1" si="16"/>
        <v>26.695493518628709</v>
      </c>
      <c r="BF49" s="96">
        <f ca="1">EXP(Workings!$B$16*'PDE 2'!F49+Workings!$B$17*'PDE 2'!$BE$2)*BE49</f>
        <v>485.4324754337942</v>
      </c>
    </row>
    <row r="50" spans="1:63" x14ac:dyDescent="0.25">
      <c r="A50" s="104">
        <f t="shared" ca="1" si="9"/>
        <v>1.5042393914186092E-3</v>
      </c>
      <c r="B50" s="99" cm="1">
        <f t="array" ref="B50">black76(1,Workings!$B$7,E50*Workings!$B$20,Workings!$B$5,Workings!$B$1,Workings!$B$1+2/365,Workings!$B$8)</f>
        <v>506.75600869953735</v>
      </c>
      <c r="C50" s="99">
        <f t="shared" ca="1" si="11"/>
        <v>505.39256130158947</v>
      </c>
      <c r="D50" s="86">
        <v>44</v>
      </c>
      <c r="E50" s="99">
        <f t="shared" si="12"/>
        <v>906.40319999999997</v>
      </c>
      <c r="F50" s="99">
        <f t="shared" si="1"/>
        <v>6.8094842401576967</v>
      </c>
      <c r="G50" s="64">
        <f>MAX(EXP($F50)-Workings!$B$7,0)*EXP(-Workings!$B$16*'PDE 2'!$F50)</f>
        <v>27.52922495197927</v>
      </c>
      <c r="H50" s="99">
        <f t="shared" ca="1" si="4"/>
        <v>27.529224948216971</v>
      </c>
      <c r="I50" s="99">
        <f t="shared" ca="1" si="16"/>
        <v>27.529224944454672</v>
      </c>
      <c r="J50" s="99">
        <f t="shared" ca="1" si="16"/>
        <v>27.529224940692373</v>
      </c>
      <c r="K50" s="99">
        <f t="shared" ca="1" si="16"/>
        <v>27.529224936930074</v>
      </c>
      <c r="L50" s="99">
        <f t="shared" ca="1" si="16"/>
        <v>27.529224933167772</v>
      </c>
      <c r="M50" s="99">
        <f t="shared" ca="1" si="16"/>
        <v>27.529224929405473</v>
      </c>
      <c r="N50" s="99">
        <f t="shared" ca="1" si="16"/>
        <v>27.529224925643174</v>
      </c>
      <c r="O50" s="99">
        <f t="shared" ca="1" si="16"/>
        <v>27.529224921880871</v>
      </c>
      <c r="P50" s="99">
        <f t="shared" ca="1" si="16"/>
        <v>27.529224918118572</v>
      </c>
      <c r="Q50" s="99">
        <f t="shared" ca="1" si="16"/>
        <v>27.529224914356274</v>
      </c>
      <c r="R50" s="99">
        <f t="shared" ca="1" si="16"/>
        <v>27.529224910593971</v>
      </c>
      <c r="S50" s="99">
        <f t="shared" ca="1" si="16"/>
        <v>27.529224906831672</v>
      </c>
      <c r="T50" s="99">
        <f t="shared" ca="1" si="16"/>
        <v>27.529224903069373</v>
      </c>
      <c r="U50" s="99">
        <f t="shared" ca="1" si="16"/>
        <v>27.529224899307071</v>
      </c>
      <c r="V50" s="99">
        <f t="shared" ca="1" si="16"/>
        <v>27.529224895544772</v>
      </c>
      <c r="W50" s="99">
        <f t="shared" ca="1" si="16"/>
        <v>27.529224891782473</v>
      </c>
      <c r="X50" s="99">
        <f t="shared" ca="1" si="16"/>
        <v>27.529224888020174</v>
      </c>
      <c r="Y50" s="99">
        <f t="shared" ca="1" si="16"/>
        <v>27.529224884257875</v>
      </c>
      <c r="Z50" s="99">
        <f t="shared" ca="1" si="16"/>
        <v>27.529224880495576</v>
      </c>
      <c r="AA50" s="99">
        <f t="shared" ca="1" si="16"/>
        <v>27.529224876733277</v>
      </c>
      <c r="AB50" s="99">
        <f t="shared" ca="1" si="16"/>
        <v>27.529224872970978</v>
      </c>
      <c r="AC50" s="99">
        <f t="shared" ca="1" si="16"/>
        <v>27.529224869208676</v>
      </c>
      <c r="AD50" s="99">
        <f t="shared" ca="1" si="16"/>
        <v>27.529224865446377</v>
      </c>
      <c r="AE50" s="99">
        <f t="shared" ca="1" si="16"/>
        <v>27.529224861684078</v>
      </c>
      <c r="AF50" s="99">
        <f t="shared" ca="1" si="16"/>
        <v>27.529224857921776</v>
      </c>
      <c r="AG50" s="99">
        <f t="shared" ca="1" si="16"/>
        <v>27.529224854159477</v>
      </c>
      <c r="AH50" s="99">
        <f t="shared" ca="1" si="16"/>
        <v>27.529224850397178</v>
      </c>
      <c r="AI50" s="99">
        <f t="shared" ca="1" si="16"/>
        <v>27.529224846634875</v>
      </c>
      <c r="AJ50" s="99">
        <f t="shared" ca="1" si="16"/>
        <v>27.529224842872576</v>
      </c>
      <c r="AK50" s="99">
        <f t="shared" ca="1" si="16"/>
        <v>27.529224839110281</v>
      </c>
      <c r="AL50" s="99">
        <f t="shared" ca="1" si="16"/>
        <v>27.529224835347978</v>
      </c>
      <c r="AM50" s="99">
        <f t="shared" ca="1" si="16"/>
        <v>27.52922483158568</v>
      </c>
      <c r="AN50" s="99">
        <f t="shared" ca="1" si="16"/>
        <v>27.529224827823384</v>
      </c>
      <c r="AO50" s="99">
        <f t="shared" ca="1" si="16"/>
        <v>27.529224824061082</v>
      </c>
      <c r="AP50" s="99">
        <f t="shared" ca="1" si="16"/>
        <v>27.529224820298783</v>
      </c>
      <c r="AQ50" s="99">
        <f t="shared" ca="1" si="16"/>
        <v>27.529224816536487</v>
      </c>
      <c r="AR50" s="99">
        <f t="shared" ca="1" si="16"/>
        <v>27.529224812774185</v>
      </c>
      <c r="AS50" s="99">
        <f t="shared" ca="1" si="16"/>
        <v>27.529224809011886</v>
      </c>
      <c r="AT50" s="99">
        <f t="shared" ca="1" si="16"/>
        <v>27.529224805249587</v>
      </c>
      <c r="AU50" s="99">
        <f t="shared" ca="1" si="16"/>
        <v>27.529224801487285</v>
      </c>
      <c r="AV50" s="99">
        <f t="shared" ca="1" si="16"/>
        <v>27.529224797724986</v>
      </c>
      <c r="AW50" s="99">
        <f t="shared" ca="1" si="16"/>
        <v>27.529224793962687</v>
      </c>
      <c r="AX50" s="99">
        <f t="shared" ca="1" si="16"/>
        <v>27.529224790200388</v>
      </c>
      <c r="AY50" s="99">
        <f t="shared" ca="1" si="16"/>
        <v>27.529224786438089</v>
      </c>
      <c r="AZ50" s="99">
        <f t="shared" ca="1" si="16"/>
        <v>27.52922478267579</v>
      </c>
      <c r="BA50" s="99">
        <f t="shared" ca="1" si="16"/>
        <v>27.529224778913491</v>
      </c>
      <c r="BB50" s="99">
        <f t="shared" ca="1" si="16"/>
        <v>27.529224775151192</v>
      </c>
      <c r="BC50" s="99">
        <f t="shared" ca="1" si="16"/>
        <v>27.529224771388893</v>
      </c>
      <c r="BD50" s="99">
        <f t="shared" ca="1" si="16"/>
        <v>27.529224767626594</v>
      </c>
      <c r="BE50" s="99">
        <f t="shared" ca="1" si="16"/>
        <v>27.529224763864296</v>
      </c>
      <c r="BF50" s="96">
        <f ca="1">EXP(Workings!$B$16*'PDE 2'!F50+Workings!$B$17*'PDE 2'!$BE$2)*BE50</f>
        <v>505.39256130158947</v>
      </c>
    </row>
    <row r="51" spans="1:63" x14ac:dyDescent="0.25">
      <c r="A51" s="104">
        <f t="shared" ca="1" si="9"/>
        <v>1.5148496216875755E-3</v>
      </c>
      <c r="B51" s="99" cm="1">
        <f t="array" ref="B51">black76(1,Workings!$B$7,E51*Workings!$B$20,Workings!$B$5,Workings!$B$1,Workings!$B$1+2/365,Workings!$B$8)</f>
        <v>526.75600869953735</v>
      </c>
      <c r="C51" s="99">
        <f t="shared" ca="1" si="11"/>
        <v>525.35264716248719</v>
      </c>
      <c r="D51" s="86">
        <v>45</v>
      </c>
      <c r="E51" s="99">
        <f t="shared" si="12"/>
        <v>926.40319999999997</v>
      </c>
      <c r="F51" s="99">
        <f t="shared" si="1"/>
        <v>6.8313095610441987</v>
      </c>
      <c r="G51" s="64">
        <f>MAX(EXP($F51)-Workings!$B$7,0)*EXP(-Workings!$B$16*'PDE 2'!$F51)</f>
        <v>28.350617390888232</v>
      </c>
      <c r="H51" s="99">
        <f t="shared" ca="1" si="4"/>
        <v>28.35061738728265</v>
      </c>
      <c r="I51" s="99">
        <f t="shared" ca="1" si="16"/>
        <v>28.350617383677069</v>
      </c>
      <c r="J51" s="99">
        <f t="shared" ca="1" si="16"/>
        <v>28.350617380071487</v>
      </c>
      <c r="K51" s="99">
        <f t="shared" ca="1" si="16"/>
        <v>28.350617376465902</v>
      </c>
      <c r="L51" s="99">
        <f t="shared" ca="1" si="16"/>
        <v>28.35061737286032</v>
      </c>
      <c r="M51" s="99">
        <f t="shared" ca="1" si="16"/>
        <v>28.350617369254739</v>
      </c>
      <c r="N51" s="99">
        <f t="shared" ca="1" si="16"/>
        <v>28.350617365649153</v>
      </c>
      <c r="O51" s="99">
        <f t="shared" ca="1" si="16"/>
        <v>28.350617362043572</v>
      </c>
      <c r="P51" s="99">
        <f t="shared" ca="1" si="16"/>
        <v>28.35061735843799</v>
      </c>
      <c r="Q51" s="99">
        <f t="shared" ca="1" si="16"/>
        <v>28.350617354832405</v>
      </c>
      <c r="R51" s="99">
        <f t="shared" ca="1" si="16"/>
        <v>28.350617351226823</v>
      </c>
      <c r="S51" s="99">
        <f t="shared" ca="1" si="16"/>
        <v>28.350617347621242</v>
      </c>
      <c r="T51" s="99">
        <f t="shared" ca="1" si="16"/>
        <v>28.35061734401566</v>
      </c>
      <c r="U51" s="99">
        <f t="shared" ca="1" si="16"/>
        <v>28.350617340410079</v>
      </c>
      <c r="V51" s="99">
        <f t="shared" ca="1" si="16"/>
        <v>28.350617336804497</v>
      </c>
      <c r="W51" s="99">
        <f t="shared" ca="1" si="16"/>
        <v>28.350617333198915</v>
      </c>
      <c r="X51" s="99">
        <f t="shared" ca="1" si="16"/>
        <v>28.350617329593334</v>
      </c>
      <c r="Y51" s="99">
        <f t="shared" ca="1" si="16"/>
        <v>28.350617325987752</v>
      </c>
      <c r="Z51" s="99">
        <f t="shared" ca="1" si="16"/>
        <v>28.35061732238217</v>
      </c>
      <c r="AA51" s="99">
        <f t="shared" ca="1" si="16"/>
        <v>28.350617318776585</v>
      </c>
      <c r="AB51" s="99">
        <f t="shared" ca="1" si="16"/>
        <v>28.350617315171004</v>
      </c>
      <c r="AC51" s="99">
        <f t="shared" ca="1" si="16"/>
        <v>28.350617311565426</v>
      </c>
      <c r="AD51" s="99">
        <f t="shared" ca="1" si="16"/>
        <v>28.35061730795984</v>
      </c>
      <c r="AE51" s="99">
        <f t="shared" ca="1" si="16"/>
        <v>28.350617304354259</v>
      </c>
      <c r="AF51" s="99">
        <f t="shared" ca="1" si="16"/>
        <v>28.350617300748677</v>
      </c>
      <c r="AG51" s="99">
        <f t="shared" ca="1" si="16"/>
        <v>28.350617297143092</v>
      </c>
      <c r="AH51" s="99">
        <f t="shared" ca="1" si="16"/>
        <v>28.35061729353751</v>
      </c>
      <c r="AI51" s="99">
        <f t="shared" ca="1" si="16"/>
        <v>28.350617289931929</v>
      </c>
      <c r="AJ51" s="99">
        <f t="shared" ca="1" si="16"/>
        <v>28.350617286326347</v>
      </c>
      <c r="AK51" s="99">
        <f t="shared" ca="1" si="16"/>
        <v>28.350617282720766</v>
      </c>
      <c r="AL51" s="99">
        <f t="shared" ca="1" si="16"/>
        <v>28.350617279115184</v>
      </c>
      <c r="AM51" s="99">
        <f t="shared" ca="1" si="16"/>
        <v>28.350617275509602</v>
      </c>
      <c r="AN51" s="99">
        <f t="shared" ca="1" si="16"/>
        <v>28.350617271904017</v>
      </c>
      <c r="AO51" s="99">
        <f t="shared" ca="1" si="16"/>
        <v>28.350617268298436</v>
      </c>
      <c r="AP51" s="99">
        <f t="shared" ca="1" si="16"/>
        <v>28.350617264692854</v>
      </c>
      <c r="AQ51" s="99">
        <f t="shared" ca="1" si="16"/>
        <v>28.350617261087269</v>
      </c>
      <c r="AR51" s="99">
        <f t="shared" ca="1" si="16"/>
        <v>28.350617257481687</v>
      </c>
      <c r="AS51" s="99">
        <f t="shared" ca="1" si="16"/>
        <v>28.350617253876106</v>
      </c>
      <c r="AT51" s="99">
        <f t="shared" ca="1" si="16"/>
        <v>28.350617250270524</v>
      </c>
      <c r="AU51" s="99">
        <f t="shared" ca="1" si="16"/>
        <v>28.350617246664942</v>
      </c>
      <c r="AV51" s="99">
        <f t="shared" ca="1" si="16"/>
        <v>28.350617243059357</v>
      </c>
      <c r="AW51" s="99">
        <f t="shared" ca="1" si="16"/>
        <v>28.350617239453776</v>
      </c>
      <c r="AX51" s="99">
        <f t="shared" ca="1" si="16"/>
        <v>28.350617235848194</v>
      </c>
      <c r="AY51" s="99">
        <f t="shared" ca="1" si="16"/>
        <v>28.350617232242609</v>
      </c>
      <c r="AZ51" s="99">
        <f t="shared" ca="1" si="16"/>
        <v>28.350617228637027</v>
      </c>
      <c r="BA51" s="99">
        <f t="shared" ca="1" si="16"/>
        <v>28.350617225031442</v>
      </c>
      <c r="BB51" s="99">
        <f t="shared" ca="1" si="16"/>
        <v>28.35061722142586</v>
      </c>
      <c r="BC51" s="99">
        <f t="shared" ca="1" si="16"/>
        <v>28.350617217820279</v>
      </c>
      <c r="BD51" s="99">
        <f t="shared" ca="1" si="16"/>
        <v>28.350617214214697</v>
      </c>
      <c r="BE51" s="99">
        <f t="shared" ca="1" si="16"/>
        <v>28.350617210609116</v>
      </c>
      <c r="BF51" s="96">
        <f ca="1">EXP(Workings!$B$16*'PDE 2'!F51+Workings!$B$17*'PDE 2'!$BE$2)*BE51</f>
        <v>525.35264716248719</v>
      </c>
    </row>
    <row r="52" spans="1:63" x14ac:dyDescent="0.25">
      <c r="A52" s="104">
        <f t="shared" ca="1" si="9"/>
        <v>1.5250114142740501E-3</v>
      </c>
      <c r="B52" s="99" cm="1">
        <f t="array" ref="B52">black76(1,Workings!$B$7,E52*Workings!$B$20,Workings!$B$5,Workings!$B$1,Workings!$B$1+2/365,Workings!$B$8)</f>
        <v>546.75600869953735</v>
      </c>
      <c r="C52" s="99">
        <f t="shared" ca="1" si="11"/>
        <v>545.31273301703186</v>
      </c>
      <c r="D52" s="86">
        <v>46</v>
      </c>
      <c r="E52" s="99">
        <f t="shared" si="12"/>
        <v>946.40319999999997</v>
      </c>
      <c r="F52" s="99">
        <f t="shared" si="1"/>
        <v>6.8526686938926114</v>
      </c>
      <c r="G52" s="64">
        <f>MAX(EXP($F52)-Workings!$B$7,0)*EXP(-Workings!$B$16*'PDE 2'!$F52)</f>
        <v>29.160185000853328</v>
      </c>
      <c r="H52" s="99">
        <f t="shared" ca="1" si="4"/>
        <v>29.160184997394396</v>
      </c>
      <c r="I52" s="99">
        <f t="shared" ca="1" si="16"/>
        <v>29.160184993935463</v>
      </c>
      <c r="J52" s="99">
        <f t="shared" ca="1" si="16"/>
        <v>29.160184990476527</v>
      </c>
      <c r="K52" s="99">
        <f t="shared" ca="1" si="16"/>
        <v>29.160184987017594</v>
      </c>
      <c r="L52" s="99">
        <f t="shared" ca="1" si="16"/>
        <v>29.160184983558658</v>
      </c>
      <c r="M52" s="99">
        <f t="shared" ca="1" si="16"/>
        <v>29.160184980099725</v>
      </c>
      <c r="N52" s="99">
        <f t="shared" ca="1" si="16"/>
        <v>29.160184976640792</v>
      </c>
      <c r="O52" s="99">
        <f t="shared" ca="1" si="16"/>
        <v>29.160184973181856</v>
      </c>
      <c r="P52" s="99">
        <f t="shared" ca="1" si="16"/>
        <v>29.160184969722923</v>
      </c>
      <c r="Q52" s="99">
        <f t="shared" ca="1" si="16"/>
        <v>29.160184966263987</v>
      </c>
      <c r="R52" s="99">
        <f t="shared" ca="1" si="16"/>
        <v>29.160184962805051</v>
      </c>
      <c r="S52" s="99">
        <f t="shared" ca="1" si="16"/>
        <v>29.160184959346118</v>
      </c>
      <c r="T52" s="99">
        <f t="shared" ca="1" si="16"/>
        <v>29.160184955887186</v>
      </c>
      <c r="U52" s="99">
        <f t="shared" ca="1" si="16"/>
        <v>29.160184952428249</v>
      </c>
      <c r="V52" s="99">
        <f t="shared" ca="1" si="16"/>
        <v>29.160184948969313</v>
      </c>
      <c r="W52" s="99">
        <f t="shared" ca="1" si="16"/>
        <v>29.16018494551038</v>
      </c>
      <c r="X52" s="99">
        <f t="shared" ca="1" si="16"/>
        <v>29.160184942051444</v>
      </c>
      <c r="Y52" s="99">
        <f t="shared" ca="1" si="16"/>
        <v>29.160184938592508</v>
      </c>
      <c r="Z52" s="99">
        <f t="shared" ca="1" si="16"/>
        <v>29.160184935133575</v>
      </c>
      <c r="AA52" s="99">
        <f t="shared" ca="1" si="16"/>
        <v>29.160184931674642</v>
      </c>
      <c r="AB52" s="99">
        <f t="shared" ca="1" si="16"/>
        <v>29.160184928215706</v>
      </c>
      <c r="AC52" s="99">
        <f t="shared" ca="1" si="16"/>
        <v>29.16018492475677</v>
      </c>
      <c r="AD52" s="99">
        <f t="shared" ca="1" si="16"/>
        <v>29.160184921297837</v>
      </c>
      <c r="AE52" s="99">
        <f t="shared" ca="1" si="16"/>
        <v>29.160184917838901</v>
      </c>
      <c r="AF52" s="99">
        <f t="shared" ca="1" si="16"/>
        <v>29.160184914379965</v>
      </c>
      <c r="AG52" s="99">
        <f t="shared" ca="1" si="16"/>
        <v>29.160184910921032</v>
      </c>
      <c r="AH52" s="99">
        <f t="shared" ca="1" si="16"/>
        <v>29.160184907462096</v>
      </c>
      <c r="AI52" s="99">
        <f t="shared" ca="1" si="16"/>
        <v>29.16018490400316</v>
      </c>
      <c r="AJ52" s="99">
        <f t="shared" ca="1" si="16"/>
        <v>29.160184900544227</v>
      </c>
      <c r="AK52" s="99">
        <f t="shared" ca="1" si="16"/>
        <v>29.160184897085294</v>
      </c>
      <c r="AL52" s="99">
        <f t="shared" ca="1" si="16"/>
        <v>29.160184893626358</v>
      </c>
      <c r="AM52" s="99">
        <f t="shared" ca="1" si="16"/>
        <v>29.160184890167422</v>
      </c>
      <c r="AN52" s="99">
        <f t="shared" ca="1" si="16"/>
        <v>29.160184886708489</v>
      </c>
      <c r="AO52" s="99">
        <f t="shared" ca="1" si="16"/>
        <v>29.160184883249556</v>
      </c>
      <c r="AP52" s="99">
        <f t="shared" ca="1" si="16"/>
        <v>29.16018487979062</v>
      </c>
      <c r="AQ52" s="99">
        <f t="shared" ca="1" si="16"/>
        <v>29.160184876331687</v>
      </c>
      <c r="AR52" s="99">
        <f t="shared" ca="1" si="16"/>
        <v>29.160184872872751</v>
      </c>
      <c r="AS52" s="99">
        <f t="shared" ca="1" si="16"/>
        <v>29.160184869413815</v>
      </c>
      <c r="AT52" s="99">
        <f t="shared" ca="1" si="16"/>
        <v>29.160184865954882</v>
      </c>
      <c r="AU52" s="99">
        <f t="shared" ca="1" si="16"/>
        <v>29.160184862495946</v>
      </c>
      <c r="AV52" s="99">
        <f t="shared" ca="1" si="16"/>
        <v>29.160184859037013</v>
      </c>
      <c r="AW52" s="99">
        <f t="shared" ca="1" si="16"/>
        <v>29.160184855578077</v>
      </c>
      <c r="AX52" s="99">
        <f t="shared" ca="1" si="16"/>
        <v>29.160184852119144</v>
      </c>
      <c r="AY52" s="99">
        <f t="shared" ca="1" si="16"/>
        <v>29.160184848660212</v>
      </c>
      <c r="AZ52" s="99">
        <f t="shared" ca="1" si="16"/>
        <v>29.160184845201275</v>
      </c>
      <c r="BA52" s="99">
        <f t="shared" ca="1" si="16"/>
        <v>29.160184841742343</v>
      </c>
      <c r="BB52" s="99">
        <f t="shared" ca="1" si="16"/>
        <v>29.160184838283406</v>
      </c>
      <c r="BC52" s="99">
        <f t="shared" ca="1" si="16"/>
        <v>29.160184834824474</v>
      </c>
      <c r="BD52" s="99">
        <f t="shared" ca="1" si="16"/>
        <v>29.160184831365537</v>
      </c>
      <c r="BE52" s="99">
        <f t="shared" ca="1" si="16"/>
        <v>29.160184827906601</v>
      </c>
      <c r="BF52" s="96">
        <f ca="1">EXP(Workings!$B$16*'PDE 2'!F52+Workings!$B$17*'PDE 2'!$BE$2)*BE52</f>
        <v>545.31273301703186</v>
      </c>
    </row>
    <row r="53" spans="1:63" x14ac:dyDescent="0.25">
      <c r="A53" s="104">
        <f t="shared" ca="1" si="9"/>
        <v>1.5347526103218791E-3</v>
      </c>
      <c r="B53" s="99" cm="1">
        <f t="array" ref="B53">black76(1,Workings!$B$7,E53*Workings!$B$20,Workings!$B$5,Workings!$B$1,Workings!$B$1+2/365,Workings!$B$8)</f>
        <v>566.75600869953735</v>
      </c>
      <c r="C53" s="99">
        <f t="shared" ca="1" si="11"/>
        <v>565.27281886571393</v>
      </c>
      <c r="D53" s="86">
        <v>47</v>
      </c>
      <c r="E53" s="99">
        <f t="shared" si="12"/>
        <v>966.40319999999997</v>
      </c>
      <c r="F53" s="99">
        <f t="shared" si="1"/>
        <v>6.8735811384333463</v>
      </c>
      <c r="G53" s="64">
        <f>MAX(EXP($F53)-Workings!$B$7,0)*EXP(-Workings!$B$16*'PDE 2'!$F53)</f>
        <v>29.9584087262715</v>
      </c>
      <c r="H53" s="99">
        <f t="shared" ca="1" si="4"/>
        <v>29.958408722950001</v>
      </c>
      <c r="I53" s="99">
        <f t="shared" ca="1" si="16"/>
        <v>29.958408719628498</v>
      </c>
      <c r="J53" s="99">
        <f t="shared" ca="1" si="16"/>
        <v>29.958408716306995</v>
      </c>
      <c r="K53" s="99">
        <f t="shared" ca="1" si="16"/>
        <v>29.958408712985491</v>
      </c>
      <c r="L53" s="99">
        <f t="shared" ca="1" si="16"/>
        <v>29.958408709663992</v>
      </c>
      <c r="M53" s="99">
        <f t="shared" ca="1" si="16"/>
        <v>29.958408706342485</v>
      </c>
      <c r="N53" s="99">
        <f t="shared" ca="1" si="16"/>
        <v>29.958408703020982</v>
      </c>
      <c r="O53" s="99">
        <f t="shared" ca="1" si="16"/>
        <v>29.958408699699483</v>
      </c>
      <c r="P53" s="99">
        <f t="shared" ca="1" si="16"/>
        <v>29.95840869637798</v>
      </c>
      <c r="Q53" s="99">
        <f t="shared" ca="1" si="16"/>
        <v>29.958408693056477</v>
      </c>
      <c r="R53" s="99">
        <f t="shared" ca="1" si="16"/>
        <v>29.958408689734974</v>
      </c>
      <c r="S53" s="99">
        <f t="shared" ca="1" si="16"/>
        <v>29.958408686413474</v>
      </c>
      <c r="T53" s="99">
        <f t="shared" ca="1" si="16"/>
        <v>29.958408683091967</v>
      </c>
      <c r="U53" s="99">
        <f t="shared" ca="1" si="16"/>
        <v>29.958408679770464</v>
      </c>
      <c r="V53" s="99">
        <f t="shared" ca="1" si="16"/>
        <v>29.958408676448965</v>
      </c>
      <c r="W53" s="99">
        <f t="shared" ca="1" si="16"/>
        <v>29.958408673127462</v>
      </c>
      <c r="X53" s="99">
        <f t="shared" ca="1" si="16"/>
        <v>29.958408669805959</v>
      </c>
      <c r="Y53" s="99">
        <f t="shared" ca="1" si="16"/>
        <v>29.958408666484456</v>
      </c>
      <c r="Z53" s="99">
        <f t="shared" ca="1" si="16"/>
        <v>29.958408663162952</v>
      </c>
      <c r="AA53" s="99">
        <f t="shared" ca="1" si="16"/>
        <v>29.958408659841449</v>
      </c>
      <c r="AB53" s="99">
        <f t="shared" ca="1" si="16"/>
        <v>29.958408656519946</v>
      </c>
      <c r="AC53" s="99">
        <f t="shared" ca="1" si="16"/>
        <v>29.958408653198447</v>
      </c>
      <c r="AD53" s="99">
        <f t="shared" ca="1" si="16"/>
        <v>29.958408649876944</v>
      </c>
      <c r="AE53" s="99">
        <f t="shared" ca="1" si="16"/>
        <v>29.958408646555441</v>
      </c>
      <c r="AF53" s="99">
        <f t="shared" ca="1" si="16"/>
        <v>29.958408643233938</v>
      </c>
      <c r="AG53" s="99">
        <f t="shared" ca="1" si="16"/>
        <v>29.958408639912435</v>
      </c>
      <c r="AH53" s="99">
        <f t="shared" ca="1" si="16"/>
        <v>29.958408636590931</v>
      </c>
      <c r="AI53" s="99">
        <f t="shared" ca="1" si="16"/>
        <v>29.958408633269428</v>
      </c>
      <c r="AJ53" s="99">
        <f t="shared" ca="1" si="16"/>
        <v>29.958408629947929</v>
      </c>
      <c r="AK53" s="99">
        <f t="shared" ca="1" si="16"/>
        <v>29.958408626626426</v>
      </c>
      <c r="AL53" s="99">
        <f t="shared" ca="1" si="16"/>
        <v>29.958408623304926</v>
      </c>
      <c r="AM53" s="99">
        <f t="shared" ca="1" si="16"/>
        <v>29.958408619983423</v>
      </c>
      <c r="AN53" s="99">
        <f t="shared" ca="1" si="16"/>
        <v>29.95840861666192</v>
      </c>
      <c r="AO53" s="99">
        <f t="shared" ca="1" si="16"/>
        <v>29.958408613340417</v>
      </c>
      <c r="AP53" s="99">
        <f t="shared" ca="1" si="16"/>
        <v>29.958408610018914</v>
      </c>
      <c r="AQ53" s="99">
        <f t="shared" ca="1" si="16"/>
        <v>29.958408606697411</v>
      </c>
      <c r="AR53" s="99">
        <f t="shared" ca="1" si="16"/>
        <v>29.958408603375908</v>
      </c>
      <c r="AS53" s="99">
        <f t="shared" ca="1" si="16"/>
        <v>29.958408600054408</v>
      </c>
      <c r="AT53" s="99">
        <f t="shared" ca="1" si="16"/>
        <v>29.958408596732905</v>
      </c>
      <c r="AU53" s="99">
        <f t="shared" ca="1" si="16"/>
        <v>29.958408593411402</v>
      </c>
      <c r="AV53" s="99">
        <f t="shared" ca="1" si="16"/>
        <v>29.958408590089899</v>
      </c>
      <c r="AW53" s="99">
        <f t="shared" ca="1" si="16"/>
        <v>29.9584085867684</v>
      </c>
      <c r="AX53" s="99">
        <f t="shared" ca="1" si="16"/>
        <v>29.958408583446897</v>
      </c>
      <c r="AY53" s="99">
        <f t="shared" ca="1" si="16"/>
        <v>29.958408580125393</v>
      </c>
      <c r="AZ53" s="99">
        <f t="shared" ca="1" si="16"/>
        <v>29.958408576803894</v>
      </c>
      <c r="BA53" s="99">
        <f t="shared" ca="1" si="16"/>
        <v>29.958408573482387</v>
      </c>
      <c r="BB53" s="99">
        <f t="shared" ca="1" si="16"/>
        <v>29.958408570160884</v>
      </c>
      <c r="BC53" s="99">
        <f t="shared" ca="1" si="16"/>
        <v>29.958408566839381</v>
      </c>
      <c r="BD53" s="99">
        <f t="shared" ca="1" si="16"/>
        <v>29.958408563517882</v>
      </c>
      <c r="BE53" s="99">
        <f t="shared" ca="1" si="16"/>
        <v>29.958408560196379</v>
      </c>
      <c r="BF53" s="96">
        <f ca="1">EXP(Workings!$B$16*'PDE 2'!F53+Workings!$B$17*'PDE 2'!$BE$2)*BE53</f>
        <v>565.27281886571393</v>
      </c>
    </row>
    <row r="54" spans="1:63" x14ac:dyDescent="0.25">
      <c r="A54" s="104">
        <f t="shared" ca="1" si="9"/>
        <v>1.5440987930284841E-3</v>
      </c>
      <c r="B54" s="99" cm="1">
        <f t="array" ref="B54">black76(1,Workings!$B$7,E54*Workings!$B$20,Workings!$B$5,Workings!$B$1,Workings!$B$1+2/365,Workings!$B$8)</f>
        <v>586.75600869953735</v>
      </c>
      <c r="C54" s="99">
        <f t="shared" ca="1" si="11"/>
        <v>585.23290470897791</v>
      </c>
      <c r="D54" s="86">
        <v>48</v>
      </c>
      <c r="E54" s="99">
        <f t="shared" si="12"/>
        <v>986.40319999999997</v>
      </c>
      <c r="F54" s="99">
        <f t="shared" si="1"/>
        <v>6.8940651959649051</v>
      </c>
      <c r="G54" s="64">
        <f>MAX(EXP($F54)-Workings!$B$7,0)*EXP(-Workings!$B$16*'PDE 2'!$F54)</f>
        <v>30.745739288289442</v>
      </c>
      <c r="H54" s="99">
        <f t="shared" ca="1" si="4"/>
        <v>30.745739285096921</v>
      </c>
      <c r="I54" s="99">
        <f t="shared" ca="1" si="16"/>
        <v>30.745739281904402</v>
      </c>
      <c r="J54" s="99">
        <f t="shared" ca="1" si="16"/>
        <v>30.745739278711881</v>
      </c>
      <c r="K54" s="99">
        <f t="shared" ca="1" si="16"/>
        <v>30.745739275519359</v>
      </c>
      <c r="L54" s="99">
        <f t="shared" ca="1" si="16"/>
        <v>30.745739272326837</v>
      </c>
      <c r="M54" s="99">
        <f t="shared" ca="1" si="16"/>
        <v>30.745739269134319</v>
      </c>
      <c r="N54" s="99">
        <f t="shared" ca="1" si="16"/>
        <v>30.745739265941797</v>
      </c>
      <c r="O54" s="99">
        <f t="shared" ca="1" si="16"/>
        <v>30.745739262749275</v>
      </c>
      <c r="P54" s="99">
        <f t="shared" ref="I54:BE55" ca="1" si="17">$E$3*(O53)+(1-2*$E$3)*O54+$E$3*O55</f>
        <v>30.745739259556753</v>
      </c>
      <c r="Q54" s="99">
        <f t="shared" ca="1" si="17"/>
        <v>30.745739256364232</v>
      </c>
      <c r="R54" s="99">
        <f t="shared" ca="1" si="17"/>
        <v>30.745739253171713</v>
      </c>
      <c r="S54" s="99">
        <f t="shared" ca="1" si="17"/>
        <v>30.745739249979191</v>
      </c>
      <c r="T54" s="99">
        <f t="shared" ca="1" si="17"/>
        <v>30.745739246786673</v>
      </c>
      <c r="U54" s="99">
        <f t="shared" ca="1" si="17"/>
        <v>30.745739243594151</v>
      </c>
      <c r="V54" s="99">
        <f t="shared" ca="1" si="17"/>
        <v>30.745739240401633</v>
      </c>
      <c r="W54" s="99">
        <f t="shared" ca="1" si="17"/>
        <v>30.745739237209111</v>
      </c>
      <c r="X54" s="99">
        <f t="shared" ca="1" si="17"/>
        <v>30.74573923401659</v>
      </c>
      <c r="Y54" s="99">
        <f t="shared" ca="1" si="17"/>
        <v>30.745739230824068</v>
      </c>
      <c r="Z54" s="99">
        <f t="shared" ca="1" si="17"/>
        <v>30.74573922763155</v>
      </c>
      <c r="AA54" s="99">
        <f t="shared" ca="1" si="17"/>
        <v>30.745739224439028</v>
      </c>
      <c r="AB54" s="99">
        <f t="shared" ca="1" si="17"/>
        <v>30.745739221246506</v>
      </c>
      <c r="AC54" s="99">
        <f t="shared" ca="1" si="17"/>
        <v>30.745739218053988</v>
      </c>
      <c r="AD54" s="99">
        <f t="shared" ca="1" si="17"/>
        <v>30.745739214861466</v>
      </c>
      <c r="AE54" s="99">
        <f t="shared" ca="1" si="17"/>
        <v>30.745739211668944</v>
      </c>
      <c r="AF54" s="99">
        <f t="shared" ca="1" si="17"/>
        <v>30.745739208476422</v>
      </c>
      <c r="AG54" s="99">
        <f t="shared" ca="1" si="17"/>
        <v>30.745739205283904</v>
      </c>
      <c r="AH54" s="99">
        <f t="shared" ca="1" si="17"/>
        <v>30.745739202091382</v>
      </c>
      <c r="AI54" s="99">
        <f t="shared" ca="1" si="17"/>
        <v>30.74573919889886</v>
      </c>
      <c r="AJ54" s="99">
        <f t="shared" ca="1" si="17"/>
        <v>30.745739195706339</v>
      </c>
      <c r="AK54" s="99">
        <f t="shared" ca="1" si="17"/>
        <v>30.74573919251382</v>
      </c>
      <c r="AL54" s="99">
        <f t="shared" ca="1" si="17"/>
        <v>30.745739189321299</v>
      </c>
      <c r="AM54" s="99">
        <f t="shared" ca="1" si="17"/>
        <v>30.745739186128777</v>
      </c>
      <c r="AN54" s="99">
        <f t="shared" ca="1" si="17"/>
        <v>30.745739182936259</v>
      </c>
      <c r="AO54" s="99">
        <f t="shared" ca="1" si="17"/>
        <v>30.74573917974374</v>
      </c>
      <c r="AP54" s="99">
        <f t="shared" ca="1" si="17"/>
        <v>30.745739176551218</v>
      </c>
      <c r="AQ54" s="99">
        <f t="shared" ca="1" si="17"/>
        <v>30.745739173358697</v>
      </c>
      <c r="AR54" s="99">
        <f t="shared" ca="1" si="17"/>
        <v>30.745739170166178</v>
      </c>
      <c r="AS54" s="99">
        <f t="shared" ca="1" si="17"/>
        <v>30.745739166973653</v>
      </c>
      <c r="AT54" s="99">
        <f t="shared" ca="1" si="17"/>
        <v>30.745739163781131</v>
      </c>
      <c r="AU54" s="99">
        <f t="shared" ca="1" si="17"/>
        <v>30.745739160588609</v>
      </c>
      <c r="AV54" s="99">
        <f t="shared" ca="1" si="17"/>
        <v>30.745739157396091</v>
      </c>
      <c r="AW54" s="99">
        <f t="shared" ca="1" si="17"/>
        <v>30.745739154203569</v>
      </c>
      <c r="AX54" s="99">
        <f t="shared" ca="1" si="17"/>
        <v>30.745739151011048</v>
      </c>
      <c r="AY54" s="99">
        <f t="shared" ca="1" si="17"/>
        <v>30.745739147818529</v>
      </c>
      <c r="AZ54" s="99">
        <f t="shared" ca="1" si="17"/>
        <v>30.745739144626008</v>
      </c>
      <c r="BA54" s="99">
        <f t="shared" ca="1" si="17"/>
        <v>30.745739141433486</v>
      </c>
      <c r="BB54" s="99">
        <f t="shared" ca="1" si="17"/>
        <v>30.745739138240964</v>
      </c>
      <c r="BC54" s="99">
        <f t="shared" ca="1" si="17"/>
        <v>30.745739135048446</v>
      </c>
      <c r="BD54" s="99">
        <f t="shared" ca="1" si="17"/>
        <v>30.745739131855924</v>
      </c>
      <c r="BE54" s="99">
        <f t="shared" ca="1" si="17"/>
        <v>30.745739128663402</v>
      </c>
      <c r="BF54" s="96">
        <f ca="1">EXP(Workings!$B$16*'PDE 2'!F54+Workings!$B$17*'PDE 2'!$BE$2)*BE54</f>
        <v>585.23290470897791</v>
      </c>
    </row>
    <row r="55" spans="1:63" x14ac:dyDescent="0.25">
      <c r="A55" s="104">
        <f t="shared" ca="1" si="9"/>
        <v>1.5530735119783832E-3</v>
      </c>
      <c r="B55" s="99" cm="1">
        <f t="array" ref="B55">black76(1,Workings!$B$7,E55*Workings!$B$20,Workings!$B$5,Workings!$B$1,Workings!$B$1+2/365,Workings!$B$8)</f>
        <v>606.75600869953735</v>
      </c>
      <c r="C55" s="99">
        <f t="shared" ca="1" si="11"/>
        <v>605.19299054724706</v>
      </c>
      <c r="D55" s="86">
        <v>49</v>
      </c>
      <c r="E55" s="99">
        <f t="shared" si="12"/>
        <v>1006.4032</v>
      </c>
      <c r="F55" s="99">
        <f t="shared" si="1"/>
        <v>6.9141380655913594</v>
      </c>
      <c r="G55" s="64">
        <f>MAX(EXP($F55)-Workings!$B$7,0)*EXP(-Workings!$B$16*'PDE 2'!$F55)</f>
        <v>31.522599694631253</v>
      </c>
      <c r="H55" s="99">
        <f t="shared" ca="1" si="4"/>
        <v>31.522599691559954</v>
      </c>
      <c r="I55" s="99">
        <f t="shared" ca="1" si="17"/>
        <v>31.522599688488654</v>
      </c>
      <c r="J55" s="99">
        <f t="shared" ca="1" si="17"/>
        <v>31.522599685417354</v>
      </c>
      <c r="K55" s="99">
        <f t="shared" ca="1" si="17"/>
        <v>31.522599682346058</v>
      </c>
      <c r="L55" s="99">
        <f t="shared" ca="1" si="17"/>
        <v>31.522599679274762</v>
      </c>
      <c r="M55" s="99">
        <f t="shared" ca="1" si="17"/>
        <v>31.522599676203466</v>
      </c>
      <c r="N55" s="99">
        <f t="shared" ca="1" si="17"/>
        <v>31.52259967313217</v>
      </c>
      <c r="O55" s="99">
        <f t="shared" ca="1" si="17"/>
        <v>31.522599670060877</v>
      </c>
      <c r="P55" s="99">
        <f t="shared" ca="1" si="17"/>
        <v>31.522599666989585</v>
      </c>
      <c r="Q55" s="99">
        <f t="shared" ca="1" si="17"/>
        <v>31.522599663918292</v>
      </c>
      <c r="R55" s="99">
        <f t="shared" ca="1" si="17"/>
        <v>31.522599660847</v>
      </c>
      <c r="S55" s="99">
        <f t="shared" ca="1" si="17"/>
        <v>31.522599657775711</v>
      </c>
      <c r="T55" s="99">
        <f t="shared" ca="1" si="17"/>
        <v>31.522599654704418</v>
      </c>
      <c r="U55" s="99">
        <f t="shared" ca="1" si="17"/>
        <v>31.522599651633129</v>
      </c>
      <c r="V55" s="99">
        <f t="shared" ca="1" si="17"/>
        <v>31.52259964856184</v>
      </c>
      <c r="W55" s="99">
        <f t="shared" ca="1" si="17"/>
        <v>31.522599645490555</v>
      </c>
      <c r="X55" s="99">
        <f t="shared" ca="1" si="17"/>
        <v>31.522599642419269</v>
      </c>
      <c r="Y55" s="99">
        <f t="shared" ca="1" si="17"/>
        <v>31.522599639347984</v>
      </c>
      <c r="Z55" s="99">
        <f t="shared" ca="1" si="17"/>
        <v>31.522599636276702</v>
      </c>
      <c r="AA55" s="99">
        <f t="shared" ca="1" si="17"/>
        <v>31.52259963320542</v>
      </c>
      <c r="AB55" s="99">
        <f t="shared" ca="1" si="17"/>
        <v>31.522599630134138</v>
      </c>
      <c r="AC55" s="99">
        <f t="shared" ca="1" si="17"/>
        <v>31.522599627062856</v>
      </c>
      <c r="AD55" s="99">
        <f t="shared" ca="1" si="17"/>
        <v>31.522599623991578</v>
      </c>
      <c r="AE55" s="99">
        <f t="shared" ca="1" si="17"/>
        <v>31.522599620920296</v>
      </c>
      <c r="AF55" s="99">
        <f t="shared" ca="1" si="17"/>
        <v>31.522599617849018</v>
      </c>
      <c r="AG55" s="99">
        <f t="shared" ca="1" si="17"/>
        <v>31.522599614777739</v>
      </c>
      <c r="AH55" s="99">
        <f t="shared" ca="1" si="17"/>
        <v>31.522599611706465</v>
      </c>
      <c r="AI55" s="99">
        <f t="shared" ca="1" si="17"/>
        <v>31.522599608635186</v>
      </c>
      <c r="AJ55" s="99">
        <f t="shared" ca="1" si="17"/>
        <v>31.522599605563911</v>
      </c>
      <c r="AK55" s="99">
        <f t="shared" ca="1" si="17"/>
        <v>31.522599602492637</v>
      </c>
      <c r="AL55" s="99">
        <f t="shared" ca="1" si="17"/>
        <v>31.522599599421365</v>
      </c>
      <c r="AM55" s="99">
        <f t="shared" ca="1" si="17"/>
        <v>31.522599596350091</v>
      </c>
      <c r="AN55" s="99">
        <f t="shared" ca="1" si="17"/>
        <v>31.522599593278819</v>
      </c>
      <c r="AO55" s="99">
        <f t="shared" ca="1" si="17"/>
        <v>31.522599590207552</v>
      </c>
      <c r="AP55" s="99">
        <f t="shared" ca="1" si="17"/>
        <v>31.522599587136281</v>
      </c>
      <c r="AQ55" s="99">
        <f t="shared" ca="1" si="17"/>
        <v>31.522599584065013</v>
      </c>
      <c r="AR55" s="99">
        <f t="shared" ca="1" si="17"/>
        <v>31.522599580993745</v>
      </c>
      <c r="AS55" s="99">
        <f t="shared" ca="1" si="17"/>
        <v>31.522599577922481</v>
      </c>
      <c r="AT55" s="99">
        <f t="shared" ca="1" si="17"/>
        <v>31.522599574851213</v>
      </c>
      <c r="AU55" s="99">
        <f t="shared" ca="1" si="17"/>
        <v>31.522599571779949</v>
      </c>
      <c r="AV55" s="99">
        <f t="shared" ca="1" si="17"/>
        <v>31.522599568708685</v>
      </c>
      <c r="AW55" s="99">
        <f t="shared" ca="1" si="17"/>
        <v>31.522599565637424</v>
      </c>
      <c r="AX55" s="99">
        <f t="shared" ca="1" si="17"/>
        <v>31.52259956256616</v>
      </c>
      <c r="AY55" s="99">
        <f t="shared" ca="1" si="17"/>
        <v>31.5225995594949</v>
      </c>
      <c r="AZ55" s="99">
        <f t="shared" ca="1" si="17"/>
        <v>31.522599556423639</v>
      </c>
      <c r="BA55" s="99">
        <f t="shared" ca="1" si="17"/>
        <v>31.522599553352379</v>
      </c>
      <c r="BB55" s="99">
        <f t="shared" ca="1" si="17"/>
        <v>31.522599550281118</v>
      </c>
      <c r="BC55" s="99">
        <f t="shared" ca="1" si="17"/>
        <v>31.522599547209861</v>
      </c>
      <c r="BD55" s="99">
        <f t="shared" ca="1" si="17"/>
        <v>31.522599544138604</v>
      </c>
      <c r="BE55" s="99">
        <f t="shared" ca="1" si="17"/>
        <v>31.522599541067347</v>
      </c>
      <c r="BF55" s="96">
        <f ca="1">EXP(Workings!$B$16*'PDE 2'!F55+Workings!$B$17*'PDE 2'!$BE$2)*BE55</f>
        <v>605.19299054724706</v>
      </c>
    </row>
    <row r="56" spans="1:63" x14ac:dyDescent="0.25">
      <c r="A56" s="104">
        <f t="shared" ca="1" si="9"/>
        <v>1.5616956922808287E-3</v>
      </c>
      <c r="B56" s="99" cm="1">
        <f t="array" ref="B56">black76(1,Workings!$B$7,E56*Workings!$B$20,Workings!$B$5,Workings!$B$1,Workings!$B$1+2/365,Workings!$B$8)</f>
        <v>626.75600869953735</v>
      </c>
      <c r="C56" s="99">
        <f t="shared" ca="1" si="11"/>
        <v>625.15307924355409</v>
      </c>
      <c r="D56" s="86">
        <v>50</v>
      </c>
      <c r="E56" s="99">
        <f t="shared" si="12"/>
        <v>1026.4032</v>
      </c>
      <c r="F56" s="99">
        <f t="shared" si="1"/>
        <v>6.933815930989474</v>
      </c>
      <c r="G56" s="64">
        <f>MAX(EXP($F56)-Workings!$B$7,0)*EXP(-Workings!$B$16*'PDE 2'!$F56)</f>
        <v>32.289387493551182</v>
      </c>
      <c r="H56" s="98">
        <f>G56</f>
        <v>32.289387493551182</v>
      </c>
      <c r="I56" s="98">
        <f t="shared" ref="I56:BE56" si="18">H56</f>
        <v>32.289387493551182</v>
      </c>
      <c r="J56" s="98">
        <f t="shared" si="18"/>
        <v>32.289387493551182</v>
      </c>
      <c r="K56" s="98">
        <f t="shared" si="18"/>
        <v>32.289387493551182</v>
      </c>
      <c r="L56" s="98">
        <f t="shared" si="18"/>
        <v>32.289387493551182</v>
      </c>
      <c r="M56" s="98">
        <f t="shared" si="18"/>
        <v>32.289387493551182</v>
      </c>
      <c r="N56" s="98">
        <f t="shared" si="18"/>
        <v>32.289387493551182</v>
      </c>
      <c r="O56" s="98">
        <f t="shared" si="18"/>
        <v>32.289387493551182</v>
      </c>
      <c r="P56" s="98">
        <f t="shared" si="18"/>
        <v>32.289387493551182</v>
      </c>
      <c r="Q56" s="98">
        <f t="shared" si="18"/>
        <v>32.289387493551182</v>
      </c>
      <c r="R56" s="98">
        <f t="shared" si="18"/>
        <v>32.289387493551182</v>
      </c>
      <c r="S56" s="98">
        <f t="shared" si="18"/>
        <v>32.289387493551182</v>
      </c>
      <c r="T56" s="98">
        <f t="shared" si="18"/>
        <v>32.289387493551182</v>
      </c>
      <c r="U56" s="98">
        <f t="shared" si="18"/>
        <v>32.289387493551182</v>
      </c>
      <c r="V56" s="98">
        <f t="shared" si="18"/>
        <v>32.289387493551182</v>
      </c>
      <c r="W56" s="98">
        <f t="shared" si="18"/>
        <v>32.289387493551182</v>
      </c>
      <c r="X56" s="98">
        <f t="shared" si="18"/>
        <v>32.289387493551182</v>
      </c>
      <c r="Y56" s="98">
        <f t="shared" si="18"/>
        <v>32.289387493551182</v>
      </c>
      <c r="Z56" s="98">
        <f t="shared" si="18"/>
        <v>32.289387493551182</v>
      </c>
      <c r="AA56" s="98">
        <f t="shared" si="18"/>
        <v>32.289387493551182</v>
      </c>
      <c r="AB56" s="98">
        <f t="shared" si="18"/>
        <v>32.289387493551182</v>
      </c>
      <c r="AC56" s="98">
        <f t="shared" si="18"/>
        <v>32.289387493551182</v>
      </c>
      <c r="AD56" s="98">
        <f t="shared" si="18"/>
        <v>32.289387493551182</v>
      </c>
      <c r="AE56" s="98">
        <f t="shared" si="18"/>
        <v>32.289387493551182</v>
      </c>
      <c r="AF56" s="98">
        <f t="shared" si="18"/>
        <v>32.289387493551182</v>
      </c>
      <c r="AG56" s="98">
        <f t="shared" si="18"/>
        <v>32.289387493551182</v>
      </c>
      <c r="AH56" s="98">
        <f t="shared" si="18"/>
        <v>32.289387493551182</v>
      </c>
      <c r="AI56" s="98">
        <f t="shared" si="18"/>
        <v>32.289387493551182</v>
      </c>
      <c r="AJ56" s="98">
        <f t="shared" si="18"/>
        <v>32.289387493551182</v>
      </c>
      <c r="AK56" s="98">
        <f t="shared" si="18"/>
        <v>32.289387493551182</v>
      </c>
      <c r="AL56" s="98">
        <f t="shared" si="18"/>
        <v>32.289387493551182</v>
      </c>
      <c r="AM56" s="98">
        <f t="shared" si="18"/>
        <v>32.289387493551182</v>
      </c>
      <c r="AN56" s="98">
        <f t="shared" si="18"/>
        <v>32.289387493551182</v>
      </c>
      <c r="AO56" s="98">
        <f t="shared" si="18"/>
        <v>32.289387493551182</v>
      </c>
      <c r="AP56" s="98">
        <f t="shared" si="18"/>
        <v>32.289387493551182</v>
      </c>
      <c r="AQ56" s="98">
        <f t="shared" si="18"/>
        <v>32.289387493551182</v>
      </c>
      <c r="AR56" s="98">
        <f t="shared" si="18"/>
        <v>32.289387493551182</v>
      </c>
      <c r="AS56" s="98">
        <f t="shared" si="18"/>
        <v>32.289387493551182</v>
      </c>
      <c r="AT56" s="98">
        <f t="shared" si="18"/>
        <v>32.289387493551182</v>
      </c>
      <c r="AU56" s="98">
        <f t="shared" si="18"/>
        <v>32.289387493551182</v>
      </c>
      <c r="AV56" s="98">
        <f t="shared" si="18"/>
        <v>32.289387493551182</v>
      </c>
      <c r="AW56" s="98">
        <f t="shared" si="18"/>
        <v>32.289387493551182</v>
      </c>
      <c r="AX56" s="98">
        <f t="shared" si="18"/>
        <v>32.289387493551182</v>
      </c>
      <c r="AY56" s="98">
        <f t="shared" si="18"/>
        <v>32.289387493551182</v>
      </c>
      <c r="AZ56" s="98">
        <f t="shared" si="18"/>
        <v>32.289387493551182</v>
      </c>
      <c r="BA56" s="98">
        <f t="shared" si="18"/>
        <v>32.289387493551182</v>
      </c>
      <c r="BB56" s="98">
        <f t="shared" si="18"/>
        <v>32.289387493551182</v>
      </c>
      <c r="BC56" s="98">
        <f t="shared" si="18"/>
        <v>32.289387493551182</v>
      </c>
      <c r="BD56" s="98">
        <f t="shared" si="18"/>
        <v>32.289387493551182</v>
      </c>
      <c r="BE56" s="98">
        <f t="shared" si="18"/>
        <v>32.289387493551182</v>
      </c>
      <c r="BF56" s="96">
        <f ca="1">EXP(Workings!$B$16*'PDE 2'!F56+Workings!$B$17*'PDE 2'!$BE$2)*BE56</f>
        <v>625.15307924355409</v>
      </c>
      <c r="BG56" s="99"/>
      <c r="BH56" s="99"/>
      <c r="BI56" s="99"/>
      <c r="BJ56" s="99"/>
      <c r="BK56" s="9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Implicit (2)</vt:lpstr>
      <vt:lpstr>Implicit</vt:lpstr>
      <vt:lpstr>trade</vt:lpstr>
      <vt:lpstr>Reference</vt:lpstr>
      <vt:lpstr>Workings</vt:lpstr>
      <vt:lpstr>PDE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Cheng Mun</dc:creator>
  <cp:lastModifiedBy>Jeffrey Chong Hong Seng</cp:lastModifiedBy>
  <dcterms:created xsi:type="dcterms:W3CDTF">2014-06-18T09:15:19Z</dcterms:created>
  <dcterms:modified xsi:type="dcterms:W3CDTF">2022-11-30T09:42:27Z</dcterms:modified>
</cp:coreProperties>
</file>